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Entradas" sheetId="2" r:id="rId6"/>
    <sheet state="visible" name="🏢 Empresa" sheetId="3" r:id="rId7"/>
    <sheet state="visible" name="👤 Pessoal" sheetId="4" r:id="rId8"/>
    <sheet state="visible" name="📅 Resumo Mensal" sheetId="5" r:id="rId9"/>
    <sheet state="visible" name="📋 Instruções" sheetId="6" r:id="rId10"/>
  </sheets>
  <definedNames>
    <definedName hidden="1" localSheetId="1" name="_xlnm._FilterDatabase">Entradas!$B$4:$H$18</definedName>
    <definedName hidden="1" localSheetId="2" name="_xlnm._FilterDatabase">'🏢 Empresa'!$B$4:$I$25</definedName>
    <definedName hidden="1" localSheetId="3" name="_xlnm._FilterDatabase">'👤 Pessoal'!$B$89:$H$115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tc={052790e4-38c6-4a9d-b9bb-e5b2c6c9495c}</author>
    <author>tc={5ce45d86-684b-44e6-99f7-c71736e82100}</author>
    <author>tc={688d07a9-343c-42ca-8290-a8eae2581201}</author>
    <author>tc={b2d282ae-8df1-48b1-82df-cef1fb0141c2}</author>
    <author>tc={f03144c6-3891-4ea4-88e7-fbbef55d91ec}</author>
    <author>tc={f0d2a71c-67a0-41fe-a5a2-260d2ef93081}</author>
  </authors>
  <commentList>
    <comment authorId="0" xr:uid="{052790e4-38c6-4a9d-b9bb-e5b2c6c9495c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Ensaio: márcia, roditi, marcio, Anderson e Silvana
</t>
      </text>
    </comment>
    <comment authorId="1" xr:uid="{5ce45d86-684b-44e6-99f7-c71736e82100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Anderson: filmagem, 300.
Vic: 559,59
Andrioli: 650
Vic: 100 ingresso
Zion: 850
tree: 800
Monica: 200
Schmidt: 500
</t>
      </text>
    </comment>
    <comment authorId="2" xr:uid="{688d07a9-343c-42ca-8290-a8eae2581201}" ref="F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Robson
Reply:
	78 da kiwify
</t>
      </text>
    </comment>
    <comment authorId="3" xr:uid="{b2d282ae-8df1-48b1-82df-cef1fb0141c2}" ref="G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Monica: 200
Schmidt: 500
</t>
      </text>
    </comment>
    <comment authorId="4" xr:uid="{f03144c6-3891-4ea4-88e7-fbbef55d91ec}" ref="G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Robson: 300
</t>
      </text>
    </comment>
    <comment authorId="5" xr:uid="{f0d2a71c-67a0-41fe-a5a2-260d2ef93081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Anderson: 300
Vic:559,59
Andrioli: 650
Vic: 100
Zion: 850
Tree: 800
</t>
      </text>
    </comment>
  </commentList>
</comments>
</file>

<file path=xl/sharedStrings.xml><?xml version="1.0" encoding="utf-8"?>
<sst xmlns="http://schemas.openxmlformats.org/spreadsheetml/2006/main" count="986" uniqueCount="235">
  <si>
    <t>💼  CONTROLE FINANCEIRO ANUAL  —  2025</t>
  </si>
  <si>
    <t>Empresa + Finanças Pessoais · Prestação de Serviços</t>
  </si>
  <si>
    <t>🏢  RESUMO EMPRESA — CUSTOS MENSAIS (R$)</t>
  </si>
  <si>
    <t>Categoria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</si>
  <si>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</si>
  <si>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</si>
  <si>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</si>
  <si>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</si>
  <si>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</si>
  <si>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</si>
  <si>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</si>
  <si>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</si>
  <si>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</si>
  <si>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</si>
  <si>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</si>
  <si>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</si>
  <si>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</si>
  <si>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🏛️ Custos Fixos</t>
  </si>
  <si>
    <t>🔄 Custos Variáveis</t>
  </si>
  <si>
    <t>📋 Impostos &amp; Taxas</t>
  </si>
  <si>
    <t>💰 Pró-labore / Retirada</t>
  </si>
  <si>
    <t>📌 TOTAL EMPRESA</t>
  </si>
  <si>
    <t>👤  RESUMO PESSOAL — DESPESAS MENSAIS (R$)</t>
  </si>
  <si>
    <t>🏠 Moradia</t>
  </si>
  <si>
    <t>🛒 Alimentação</t>
  </si>
  <si>
    <t>🧑‍🔧 Serviços</t>
  </si>
  <si>
    <t>🚙 Carro</t>
  </si>
  <si>
    <t>❤️ Saúde</t>
  </si>
  <si>
    <t>🛍️ Aquisições Pessoais</t>
  </si>
  <si>
    <t>🎉 Lazer &amp; Assinaturas</t>
  </si>
  <si>
    <t>💳 Financiamentos &amp; Dívidas</t>
  </si>
  <si>
    <t>📈 Investimentos / Reserva</t>
  </si>
  <si>
    <t>📌 TOTAL PESSOAL</t>
  </si>
  <si>
    <t>💡  TOTAL NECESSÁRIO POR MÊS (EMPRESA + PESSOAL)</t>
  </si>
  <si>
    <t>🔢 TOTAL GERAL</t>
  </si>
  <si>
    <t>ℹ️  LEGENDA DE CORES</t>
  </si>
  <si>
    <t>Azul = Valor editável</t>
  </si>
  <si>
    <t>Amarelo = Total categoria</t>
  </si>
  <si>
    <t>Verde = Total pessoal</t>
  </si>
  <si>
    <t>Preencha nas abas detalhadas →</t>
  </si>
  <si>
    <t>🏢  RESUMO EMPRESA — ENTRADAS MENSAIS (R$)</t>
  </si>
  <si>
    <t>Filmagem</t>
  </si>
  <si>
    <t>Fotografia</t>
  </si>
  <si>
    <t>Quinto Andar</t>
  </si>
  <si>
    <t>Produto Digital</t>
  </si>
  <si>
    <t>Outros</t>
  </si>
  <si>
    <t>📌 TOTAL FATURADO</t>
  </si>
  <si>
    <t>🏢  CONTROLE DE CUSTOS DA EMPRESA — 2026</t>
  </si>
  <si>
    <t>Prestação de Serviços  ·  Registre cada despesa linha por linha</t>
  </si>
  <si>
    <t>Mês</t>
  </si>
  <si>
    <t>Dt. Pagamento</t>
  </si>
  <si>
    <t>Descrição</t>
  </si>
  <si>
    <t>Valor (R$)</t>
  </si>
  <si>
    <t>Status</t>
  </si>
  <si>
    <t>Observação</t>
  </si>
  <si>
    <t>Abril</t>
  </si>
  <si>
    <t>Ensaio marcia</t>
  </si>
  <si>
    <t xml:space="preserve"> Fotografia </t>
  </si>
  <si>
    <t>Não Entregue</t>
  </si>
  <si>
    <t xml:space="preserve">Não </t>
  </si>
  <si>
    <t>Ensaio Roditi</t>
  </si>
  <si>
    <t>Ensaio Anderson</t>
  </si>
  <si>
    <t>Gravação Anderson</t>
  </si>
  <si>
    <t xml:space="preserve">Filmagem  </t>
  </si>
  <si>
    <t>Entregue</t>
  </si>
  <si>
    <t>Ensaio Marcio</t>
  </si>
  <si>
    <t>Gravação Vic - MR. Perfect</t>
  </si>
  <si>
    <t>Caroline Andrioli</t>
  </si>
  <si>
    <t>Edição</t>
  </si>
  <si>
    <t>Gravação Vic - MR. Perfect, ingresso</t>
  </si>
  <si>
    <t>Ensiao leandro</t>
  </si>
  <si>
    <t>Ensaio Silvana</t>
  </si>
  <si>
    <t>Zion</t>
  </si>
  <si>
    <t>Robson - Projeto You Tube</t>
  </si>
  <si>
    <t>Tree Inteligence</t>
  </si>
  <si>
    <t>Prioridade</t>
  </si>
  <si>
    <t>Robson - gasolina Ilha</t>
  </si>
  <si>
    <t>Maio</t>
  </si>
  <si>
    <t>Monica</t>
  </si>
  <si>
    <t>Schmidt - Sem Dogma - Maio</t>
  </si>
  <si>
    <t>Junho</t>
  </si>
  <si>
    <t>🛑Atrasado</t>
  </si>
  <si>
    <t>📊  TOTAIS POR CATEGORIA</t>
  </si>
  <si>
    <t>Custos Fixos</t>
  </si>
  <si>
    <t>Custos Variáveis</t>
  </si>
  <si>
    <t>Impostos e Taxas</t>
  </si>
  <si>
    <t>Pró-labore / Retirada</t>
  </si>
  <si>
    <t>💰 TOTAL GERAL EMPRESA</t>
  </si>
  <si>
    <t>Vencimento</t>
  </si>
  <si>
    <t>Facebook Ads</t>
  </si>
  <si>
    <t>✅ Pago</t>
  </si>
  <si>
    <t>Aluguel do escritório</t>
  </si>
  <si>
    <t>Não se aplica</t>
  </si>
  <si>
    <t>Iniciaremos em Maio. Termeos 250 de adicionais de outros meses,s erviços prestados, cobrança em maio.</t>
  </si>
  <si>
    <t>Estacionamento Citta</t>
  </si>
  <si>
    <t>Google On</t>
  </si>
  <si>
    <t>Capcut</t>
  </si>
  <si>
    <t>Internet Recreio</t>
  </si>
  <si>
    <t>Adobe</t>
  </si>
  <si>
    <t>Março</t>
  </si>
  <si>
    <t>Contador / Honorários</t>
  </si>
  <si>
    <t>Renegociação PJ</t>
  </si>
  <si>
    <t>DAS Simples Nacional</t>
  </si>
  <si>
    <t>INSS pró-labore</t>
  </si>
  <si>
    <t>Captions</t>
  </si>
  <si>
    <t>Claude</t>
  </si>
  <si>
    <t>Lanche Clientes</t>
  </si>
  <si>
    <t>Ingresso MR Perfect</t>
  </si>
  <si>
    <t>Estacionamento</t>
  </si>
  <si>
    <t>Carro</t>
  </si>
  <si>
    <t>Città</t>
  </si>
  <si>
    <t>👤  CONTROLE DE DESPESAS PESSOAIS — 2026</t>
  </si>
  <si>
    <t>Registre cada despesa pessoal linha por linha  ·  Fonte de renda: Pró-labore da empresa</t>
  </si>
  <si>
    <t>Mundial</t>
  </si>
  <si>
    <t>Alimentação</t>
  </si>
  <si>
    <t>Clube iFood</t>
  </si>
  <si>
    <t>Nu Seguro Celular</t>
  </si>
  <si>
    <t>Serviços</t>
  </si>
  <si>
    <t xml:space="preserve">Aluguel </t>
  </si>
  <si>
    <t>Moradia</t>
  </si>
  <si>
    <t>Condomínio</t>
  </si>
  <si>
    <t>IPTU (parcela mensal) Lusitania</t>
  </si>
  <si>
    <t>Vivo</t>
  </si>
  <si>
    <t>Light</t>
  </si>
  <si>
    <t>Gás</t>
  </si>
  <si>
    <t>Barba</t>
  </si>
  <si>
    <t>Saúde</t>
  </si>
  <si>
    <t>You Tube Premium</t>
  </si>
  <si>
    <t>Lazer &amp; Assinaturas</t>
  </si>
  <si>
    <t>Combustível</t>
  </si>
  <si>
    <t>Restaurante / Delivery</t>
  </si>
  <si>
    <t>Like</t>
  </si>
  <si>
    <t>Plano de saúde</t>
  </si>
  <si>
    <t>Farmácia / Exames</t>
  </si>
  <si>
    <t>Drogasmil</t>
  </si>
  <si>
    <t>Lazer / Passeios / Viagens</t>
  </si>
  <si>
    <t>Parcela financiamento / Cartão</t>
  </si>
  <si>
    <t>Financiamentos &amp; Dívidas</t>
  </si>
  <si>
    <t>Aporte mensal investimentos</t>
  </si>
  <si>
    <t>Investimentos / Reserva</t>
  </si>
  <si>
    <t>Rosa/Maria 1/2</t>
  </si>
  <si>
    <t>Rosa/Maria 2/2 - 28/4</t>
  </si>
  <si>
    <t>Pagar a Rosa</t>
  </si>
  <si>
    <t>iFood</t>
  </si>
  <si>
    <t>Pedágio</t>
  </si>
  <si>
    <t>Lava Jato/Conserto</t>
  </si>
  <si>
    <t>Vestuário/Perfumes</t>
  </si>
  <si>
    <t>Projeto You Tube</t>
  </si>
  <si>
    <t>Aquisições Pessoais</t>
  </si>
  <si>
    <t>Digiscale Treinamentos</t>
  </si>
  <si>
    <t>Rosa/Maria 2/2</t>
  </si>
  <si>
    <t>Doação Ação Social</t>
  </si>
  <si>
    <t>Mercado</t>
  </si>
  <si>
    <t>Água</t>
  </si>
  <si>
    <t>PIX tatiana</t>
  </si>
  <si>
    <t>Lembrar</t>
  </si>
  <si>
    <t>Farmácia</t>
  </si>
  <si>
    <t>Kopenhagen</t>
  </si>
  <si>
    <t>Conveniência</t>
  </si>
  <si>
    <t>Posto</t>
  </si>
  <si>
    <t>Padaria</t>
  </si>
  <si>
    <t>Varejão dos Graos</t>
  </si>
  <si>
    <t>Água evento MR Perfect</t>
  </si>
  <si>
    <t>Trembo Cookies</t>
  </si>
  <si>
    <t>INtelisoft</t>
  </si>
  <si>
    <t>Tina</t>
  </si>
  <si>
    <t>Família</t>
  </si>
  <si>
    <t>Sanharo Churrascaria</t>
  </si>
  <si>
    <t>PIX Hugo Rodrigues</t>
  </si>
  <si>
    <t>RD Saúde</t>
  </si>
  <si>
    <t>Casa do Biscoito</t>
  </si>
  <si>
    <t>Vearejão do graos</t>
  </si>
  <si>
    <t>Zona Sul</t>
  </si>
  <si>
    <t>Marcella Martinez</t>
  </si>
  <si>
    <t>Barraca da Lúcia</t>
  </si>
  <si>
    <t>Guanabara</t>
  </si>
  <si>
    <t>Aluguel</t>
  </si>
  <si>
    <t>💰 TOTAL GERAL PESSOAL</t>
  </si>
  <si>
    <t>📅  RESUMO MENSAL — CONSULTA RÁPIDA</t>
  </si>
  <si>
    <t>📅  JANEIRO / 2026</t>
  </si>
  <si>
    <t>🏢 EMPRESA</t>
  </si>
  <si>
    <t xml:space="preserve">  Custos Fixos</t>
  </si>
  <si>
    <t xml:space="preserve">  Custos Variáveis</t>
  </si>
  <si>
    <t xml:space="preserve">  Impostos e Taxas</t>
  </si>
  <si>
    <t xml:space="preserve">  Pró-labore / Retirada</t>
  </si>
  <si>
    <t xml:space="preserve">  TOTAL EMPRESA</t>
  </si>
  <si>
    <t>👤 PESSOAL</t>
  </si>
  <si>
    <t xml:space="preserve">  TOTAL PESSOAL</t>
  </si>
  <si>
    <t>💡 NECESSÁRIO EM JANEIRO</t>
  </si>
  <si>
    <t>📅  FEVEREIRO / 2025</t>
  </si>
  <si>
    <t>💡 NECESSÁRIO EM FEVEREIRO</t>
  </si>
  <si>
    <t>📅  MARÇO / 2025</t>
  </si>
  <si>
    <t>💡 NECESSÁRIO EM MARÇO</t>
  </si>
  <si>
    <t>📅  ABRIL / 2025</t>
  </si>
  <si>
    <t>💡 NECESSÁRIO EM ABRIL</t>
  </si>
  <si>
    <t>📅  MAIO / 2025</t>
  </si>
  <si>
    <t>💡 NECESSÁRIO EM MAIO</t>
  </si>
  <si>
    <t>📅  JUNHO / 2025</t>
  </si>
  <si>
    <t>💡 NECESSÁRIO EM JUNHO</t>
  </si>
  <si>
    <t>📅  JULHO / 2025</t>
  </si>
  <si>
    <t>💡 NECESSÁRIO EM JULHO</t>
  </si>
  <si>
    <t>📅  AGOSTO / 2025</t>
  </si>
  <si>
    <t>💡 NECESSÁRIO EM AGOSTO</t>
  </si>
  <si>
    <t>📅  SETEMBRO / 2025</t>
  </si>
  <si>
    <t>💡 NECESSÁRIO EM SETEMBRO</t>
  </si>
  <si>
    <t>📅  OUTUBRO / 2025</t>
  </si>
  <si>
    <t>💡 NECESSÁRIO EM OUTUBRO</t>
  </si>
  <si>
    <t>📅  NOVEMBRO / 2025</t>
  </si>
  <si>
    <t>💡 NECESSÁRIO EM NOVEMBRO</t>
  </si>
  <si>
    <t>📅  DEZEMBRO / 2025</t>
  </si>
  <si>
    <t>💡 NECESSÁRIO EM DEZEMBRO</t>
  </si>
  <si>
    <t>📋  COMO USAR ESTA PLANILHA</t>
  </si>
  <si>
    <t>🔵 ABAS DISPONÍVEIS:</t>
  </si>
  <si>
    <t xml:space="preserve">  📊 Dashboard  →  Visão geral anual de todos os custos. LEIA AQUI primeiro.</t>
  </si>
  <si>
    <t xml:space="preserve">  🏢 Empresa  →  Lançamentos detalhados de cada despesa da empresa.</t>
  </si>
  <si>
    <t xml:space="preserve">  👤 Pessoal  →  Lançamentos detalhados de cada despesa pessoal.</t>
  </si>
  <si>
    <t xml:space="preserve">  📅 Resumo Mensal  →  Consulta rápida mês a mês com totais consolidados.</t>
  </si>
  <si>
    <t>🔵 COMO PREENCHER:</t>
  </si>
  <si>
    <t xml:space="preserve">  Passo 1  →  Na aba 🏢 Empresa, edite os valores da coluna 'Valor (R$)' com os seus custos reais.</t>
  </si>
  <si>
    <t xml:space="preserve">  Passo 2  →  Altere o 'Status' para ✅ Pago quando o pagamento for realizado.</t>
  </si>
  <si>
    <t xml:space="preserve">  Passo 3  →  Preencha a coluna 'Dt. Pagamento' com a data efetiva do pagamento.</t>
  </si>
  <si>
    <t xml:space="preserve">  Passo 4  →  Faça o mesmo na aba 👤 Pessoal para as despesas pessoais.</t>
  </si>
  <si>
    <t xml:space="preserve">  Passo 5  →  O Dashboard é atualizado automaticamente pelos totais das abas.</t>
  </si>
  <si>
    <t xml:space="preserve">  Passo 6  →  Adicione novas linhas copiando o formato das linhas existentes.</t>
  </si>
  <si>
    <t>🔵 STATUS DISPONÍVEIS:</t>
  </si>
  <si>
    <t xml:space="preserve">  ✅ Pago  →  Conta paga — fundo verde</t>
  </si>
  <si>
    <t xml:space="preserve">  ⏳ Pendente  →  Conta a pagar — fundo amarelo</t>
  </si>
  <si>
    <t xml:space="preserve">  ❌ Atrasado  →  Conta em atraso — fundo vermelho (adicione manualmente)</t>
  </si>
  <si>
    <t>🔵 CORES NA PLANILHA:</t>
  </si>
  <si>
    <t xml:space="preserve">  Texto azul  →  Valor que você deve editar (hardcode)</t>
  </si>
  <si>
    <t xml:space="preserve">  Texto preto  →  Fórmula automática — não editar</t>
  </si>
  <si>
    <t xml:space="preserve">  Fundo amarelo  →  Total / resumo calculado automaticamente</t>
  </si>
  <si>
    <t>🔵 DICA:</t>
  </si>
  <si>
    <t xml:space="preserve">  Filtros  →  Use Ctrl+Shift+L para ativar filtros e filtrar por Mês, Categoria ou Status.</t>
  </si>
  <si>
    <t xml:space="preserve">  Novo ano  →  Para 2026, basta duplicar as abas e ajustar as datas.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</si>
</sst>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;&quot;(R$ &quot;#,##0.00\);\-"/>
    <numFmt numFmtId="165" formatCode="dd/MM/yyyy"/>
    <numFmt numFmtId="166" formatCode="d/m"/>
  </numFmts>
  <fonts count="22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sz val="9.0"/>
      <color rgb="FF0000FF"/>
      <name val="Arial"/>
    </font>
    <font>
      <b/>
      <sz val="9.0"/>
      <color rgb="FF000000"/>
      <name val="Arial"/>
    </font>
    <font>
      <b/>
      <sz val="10.0"/>
      <color rgb="FFFFFFFF"/>
      <name val="Arial"/>
    </font>
    <font>
      <b/>
      <sz val="10.0"/>
      <color rgb="FFF0B429"/>
      <name val="Arial"/>
    </font>
    <font>
      <b/>
      <sz val="9.0"/>
      <color rgb="FF333333"/>
      <name val="Arial"/>
    </font>
    <font>
      <sz val="9.0"/>
      <color rgb="FF333333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4.0"/>
      <color rgb="FFFFFFFF"/>
      <name val="Arial"/>
    </font>
    <font>
      <i/>
      <sz val="9.0"/>
      <color rgb="FFFFFFFF"/>
      <name val="Arial"/>
    </font>
    <font>
      <b/>
      <sz val="9.0"/>
      <color rgb="FF1E8449"/>
      <name val="Arial"/>
    </font>
    <font>
      <color theme="1"/>
      <name val="Calibri"/>
      <scheme val="minor"/>
    </font>
    <font>
      <b/>
      <sz val="11.0"/>
      <color rgb="FFF0B429"/>
      <name val="Arial"/>
    </font>
    <font>
      <sz val="9.0"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2E6DA4"/>
        <bgColor rgb="FF2E6DA4"/>
      </patternFill>
    </fill>
    <fill>
      <patternFill patternType="solid">
        <fgColor rgb="FFD6E4F0"/>
        <bgColor rgb="FFD6E4F0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1A5276"/>
        <bgColor rgb="FF1A5276"/>
      </patternFill>
    </fill>
    <fill>
      <patternFill patternType="solid">
        <fgColor rgb="FFF2F3F4"/>
        <bgColor rgb="FFF2F3F4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9EBEA"/>
        <bgColor rgb="FFF9EBEA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F4ECF7"/>
        <bgColor rgb="FFF4ECF7"/>
      </patternFill>
    </fill>
    <fill>
      <patternFill patternType="solid">
        <fgColor rgb="FFFDEDEC"/>
        <bgColor rgb="FFFDEDEC"/>
      </patternFill>
    </fill>
  </fills>
  <borders count="11">
    <border/>
    <border>
      <left style="medium">
        <color rgb="FF7F8C8D"/>
      </left>
      <top style="medium">
        <color rgb="FF7F8C8D"/>
      </top>
      <bottom style="medium">
        <color rgb="FF7F8C8D"/>
      </bottom>
    </border>
    <border>
      <top style="medium">
        <color rgb="FF7F8C8D"/>
      </top>
      <bottom style="medium">
        <color rgb="FF7F8C8D"/>
      </bottom>
    </border>
    <border>
      <right/>
      <top style="medium">
        <color rgb="FF7F8C8D"/>
      </top>
      <bottom style="medium">
        <color rgb="FF7F8C8D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/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1" fillId="3" fontId="5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center" shrinkToFit="0" vertical="center" wrapText="0"/>
    </xf>
    <xf borderId="7" fillId="4" fontId="7" numFmtId="0" xfId="0" applyAlignment="1" applyBorder="1" applyFill="1" applyFont="1">
      <alignment horizontal="left" shrinkToFit="0" vertical="center" wrapText="0"/>
    </xf>
    <xf borderId="7" fillId="4" fontId="8" numFmtId="164" xfId="0" applyAlignment="1" applyBorder="1" applyFont="1" applyNumberFormat="1">
      <alignment horizontal="right" shrinkToFit="0" vertical="center" wrapText="0"/>
    </xf>
    <xf borderId="7" fillId="5" fontId="9" numFmtId="164" xfId="0" applyAlignment="1" applyBorder="1" applyFill="1" applyFont="1" applyNumberFormat="1">
      <alignment horizontal="right" shrinkToFit="0" vertical="center" wrapText="0"/>
    </xf>
    <xf borderId="7" fillId="6" fontId="7" numFmtId="0" xfId="0" applyAlignment="1" applyBorder="1" applyFill="1" applyFont="1">
      <alignment horizontal="left" shrinkToFit="0" vertical="center" wrapText="0"/>
    </xf>
    <xf borderId="7" fillId="6" fontId="8" numFmtId="164" xfId="0" applyAlignment="1" applyBorder="1" applyFont="1" applyNumberFormat="1">
      <alignment horizontal="right" shrinkToFit="0" vertical="center" wrapText="0"/>
    </xf>
    <xf borderId="8" fillId="3" fontId="6" numFmtId="0" xfId="0" applyAlignment="1" applyBorder="1" applyFont="1">
      <alignment horizontal="left" shrinkToFit="0" vertical="center" wrapText="0"/>
    </xf>
    <xf borderId="8" fillId="3" fontId="6" numFmtId="164" xfId="0" applyAlignment="1" applyBorder="1" applyFont="1" applyNumberFormat="1">
      <alignment horizontal="right" shrinkToFit="0" vertical="center" wrapText="0"/>
    </xf>
    <xf borderId="8" fillId="2" fontId="6" numFmtId="164" xfId="0" applyAlignment="1" applyBorder="1" applyFont="1" applyNumberFormat="1">
      <alignment horizontal="right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7" fillId="7" fontId="6" numFmtId="0" xfId="0" applyAlignment="1" applyBorder="1" applyFont="1">
      <alignment horizontal="center" shrinkToFit="0" vertical="center" wrapText="0"/>
    </xf>
    <xf borderId="7" fillId="8" fontId="7" numFmtId="0" xfId="0" applyAlignment="1" applyBorder="1" applyFill="1" applyFont="1">
      <alignment horizontal="left" shrinkToFit="0" vertical="center" wrapText="0"/>
    </xf>
    <xf borderId="7" fillId="8" fontId="8" numFmtId="164" xfId="0" applyAlignment="1" applyBorder="1" applyFont="1" applyNumberFormat="1">
      <alignment horizontal="right" shrinkToFit="0" vertical="center" wrapText="0"/>
    </xf>
    <xf borderId="7" fillId="8" fontId="7" numFmtId="0" xfId="0" applyAlignment="1" applyBorder="1" applyFont="1">
      <alignment horizontal="left" readingOrder="0" shrinkToFit="0" vertical="center" wrapText="0"/>
    </xf>
    <xf borderId="7" fillId="6" fontId="7" numFmtId="0" xfId="0" applyAlignment="1" applyBorder="1" applyFont="1">
      <alignment horizontal="left" readingOrder="0" shrinkToFit="0" vertical="center" wrapText="0"/>
    </xf>
    <xf borderId="8" fillId="7" fontId="6" numFmtId="0" xfId="0" applyAlignment="1" applyBorder="1" applyFont="1">
      <alignment horizontal="left" shrinkToFit="0" vertical="center" wrapText="0"/>
    </xf>
    <xf borderId="8" fillId="7" fontId="6" numFmtId="164" xfId="0" applyAlignment="1" applyBorder="1" applyFont="1" applyNumberFormat="1">
      <alignment horizontal="right" shrinkToFit="0" vertical="center" wrapText="0"/>
    </xf>
    <xf borderId="8" fillId="9" fontId="6" numFmtId="164" xfId="0" applyAlignment="1" applyBorder="1" applyFill="1" applyFont="1" applyNumberFormat="1">
      <alignment horizontal="right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8" fillId="2" fontId="10" numFmtId="0" xfId="0" applyAlignment="1" applyBorder="1" applyFont="1">
      <alignment horizontal="left" shrinkToFit="0" vertical="center" wrapText="0"/>
    </xf>
    <xf borderId="8" fillId="2" fontId="11" numFmtId="164" xfId="0" applyAlignment="1" applyBorder="1" applyFont="1" applyNumberFormat="1">
      <alignment horizontal="right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7" fillId="4" fontId="8" numFmtId="0" xfId="0" applyAlignment="1" applyBorder="1" applyFont="1">
      <alignment horizontal="left" shrinkToFit="0" vertical="center" wrapText="0"/>
    </xf>
    <xf borderId="7" fillId="5" fontId="13" numFmtId="0" xfId="0" applyAlignment="1" applyBorder="1" applyFont="1">
      <alignment horizontal="left" shrinkToFit="0" vertical="center" wrapText="0"/>
    </xf>
    <xf borderId="7" fillId="8" fontId="13" numFmtId="0" xfId="0" applyAlignment="1" applyBorder="1" applyFont="1">
      <alignment horizontal="left" shrinkToFit="0" vertical="center" wrapText="0"/>
    </xf>
    <xf borderId="7" fillId="6" fontId="13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7" fillId="4" fontId="7" numFmtId="0" xfId="0" applyAlignment="1" applyBorder="1" applyFont="1">
      <alignment horizontal="left" readingOrder="0" shrinkToFit="0" vertical="center" wrapText="0"/>
    </xf>
    <xf borderId="7" fillId="4" fontId="8" numFmtId="164" xfId="0" applyAlignment="1" applyBorder="1" applyFont="1" applyNumberFormat="1">
      <alignment horizontal="right" readingOrder="0" shrinkToFit="0" vertical="center" wrapText="0"/>
    </xf>
    <xf borderId="7" fillId="6" fontId="8" numFmtId="164" xfId="0" applyAlignment="1" applyBorder="1" applyFont="1" applyNumberFormat="1">
      <alignment horizontal="right" readingOrder="0" shrinkToFit="0" vertical="center" wrapText="0"/>
    </xf>
    <xf borderId="7" fillId="6" fontId="14" numFmtId="0" xfId="0" applyAlignment="1" applyBorder="1" applyFont="1">
      <alignment readingOrder="0"/>
    </xf>
    <xf borderId="7" fillId="6" fontId="8" numFmtId="164" xfId="0" applyAlignment="1" applyBorder="1" applyFont="1" applyNumberFormat="1">
      <alignment horizontal="right"/>
    </xf>
    <xf borderId="7" fillId="6" fontId="8" numFmtId="164" xfId="0" applyAlignment="1" applyBorder="1" applyFont="1" applyNumberFormat="1">
      <alignment horizontal="right" readingOrder="0"/>
    </xf>
    <xf borderId="7" fillId="5" fontId="15" numFmtId="164" xfId="0" applyAlignment="1" applyBorder="1" applyFont="1" applyNumberFormat="1">
      <alignment horizontal="right"/>
    </xf>
    <xf borderId="8" fillId="3" fontId="6" numFmtId="0" xfId="0" applyAlignment="1" applyBorder="1" applyFont="1">
      <alignment horizontal="left" readingOrder="0" shrinkToFit="0" vertical="center" wrapText="0"/>
    </xf>
    <xf borderId="1" fillId="2" fontId="16" numFmtId="0" xfId="0" applyAlignment="1" applyBorder="1" applyFont="1">
      <alignment horizontal="center" readingOrder="0" shrinkToFit="0" vertical="center" wrapText="0"/>
    </xf>
    <xf borderId="4" fillId="3" fontId="17" numFmtId="0" xfId="0" applyAlignment="1" applyBorder="1" applyFont="1">
      <alignment horizontal="center" shrinkToFit="0" vertical="center" wrapText="0"/>
    </xf>
    <xf borderId="7" fillId="3" fontId="6" numFmtId="0" xfId="0" applyAlignment="1" applyBorder="1" applyFont="1">
      <alignment horizontal="center" readingOrder="0" shrinkToFit="0" vertical="center" wrapText="0"/>
    </xf>
    <xf borderId="7" fillId="11" fontId="7" numFmtId="0" xfId="0" applyAlignment="1" applyBorder="1" applyFill="1" applyFont="1">
      <alignment horizontal="left" readingOrder="0" shrinkToFit="0" vertical="center" wrapText="0"/>
    </xf>
    <xf borderId="7" fillId="11" fontId="7" numFmtId="165" xfId="0" applyAlignment="1" applyBorder="1" applyFont="1" applyNumberFormat="1">
      <alignment horizontal="center" readingOrder="0" shrinkToFit="0" vertical="center" wrapText="0"/>
    </xf>
    <xf borderId="7" fillId="11" fontId="8" numFmtId="164" xfId="0" applyAlignment="1" applyBorder="1" applyFont="1" applyNumberFormat="1">
      <alignment horizontal="right" readingOrder="0" shrinkToFit="0" vertical="center" wrapText="0"/>
    </xf>
    <xf borderId="7" fillId="11" fontId="18" numFmtId="0" xfId="0" applyAlignment="1" applyBorder="1" applyFont="1">
      <alignment horizontal="center" readingOrder="0" shrinkToFit="0" vertical="center" wrapText="0"/>
    </xf>
    <xf borderId="7" fillId="11" fontId="7" numFmtId="0" xfId="0" applyAlignment="1" applyBorder="1" applyFont="1">
      <alignment horizontal="left" shrinkToFit="0" vertical="center" wrapText="0"/>
    </xf>
    <xf borderId="7" fillId="12" fontId="7" numFmtId="0" xfId="0" applyAlignment="1" applyBorder="1" applyFill="1" applyFont="1">
      <alignment horizontal="left" readingOrder="0" shrinkToFit="0" vertical="center" wrapText="0"/>
    </xf>
    <xf borderId="7" fillId="12" fontId="8" numFmtId="164" xfId="0" applyAlignment="1" applyBorder="1" applyFont="1" applyNumberFormat="1">
      <alignment horizontal="right" readingOrder="0" shrinkToFit="0" vertical="center" wrapText="0"/>
    </xf>
    <xf borderId="7" fillId="12" fontId="18" numFmtId="0" xfId="0" applyAlignment="1" applyBorder="1" applyFont="1">
      <alignment horizontal="center" readingOrder="0" shrinkToFit="0" vertical="center" wrapText="0"/>
    </xf>
    <xf borderId="7" fillId="12" fontId="7" numFmtId="0" xfId="0" applyAlignment="1" applyBorder="1" applyFont="1">
      <alignment horizontal="left" shrinkToFit="0" vertical="center" wrapText="0"/>
    </xf>
    <xf borderId="7" fillId="12" fontId="18" numFmtId="0" xfId="0" applyAlignment="1" applyBorder="1" applyFont="1">
      <alignment horizontal="center" shrinkToFit="0" vertical="center" wrapText="0"/>
    </xf>
    <xf borderId="7" fillId="13" fontId="7" numFmtId="0" xfId="0" applyAlignment="1" applyBorder="1" applyFill="1" applyFont="1">
      <alignment horizontal="left" readingOrder="0" shrinkToFit="0" vertical="center" wrapText="0"/>
    </xf>
    <xf borderId="7" fillId="13" fontId="7" numFmtId="0" xfId="0" applyAlignment="1" applyBorder="1" applyFont="1">
      <alignment horizontal="left" shrinkToFit="0" vertical="center" wrapText="0"/>
    </xf>
    <xf borderId="7" fillId="13" fontId="8" numFmtId="164" xfId="0" applyAlignment="1" applyBorder="1" applyFont="1" applyNumberFormat="1">
      <alignment horizontal="right" readingOrder="0" shrinkToFit="0" vertical="center" wrapText="0"/>
    </xf>
    <xf borderId="7" fillId="13" fontId="18" numFmtId="0" xfId="0" applyAlignment="1" applyBorder="1" applyFont="1">
      <alignment horizontal="center" shrinkToFit="0" vertical="center" wrapText="0"/>
    </xf>
    <xf borderId="7" fillId="14" fontId="7" numFmtId="0" xfId="0" applyAlignment="1" applyBorder="1" applyFill="1" applyFont="1">
      <alignment horizontal="left" readingOrder="0" shrinkToFit="0" vertical="center" wrapText="0"/>
    </xf>
    <xf borderId="7" fillId="14" fontId="7" numFmtId="0" xfId="0" applyAlignment="1" applyBorder="1" applyFont="1">
      <alignment horizontal="left" shrinkToFit="0" vertical="center" wrapText="0"/>
    </xf>
    <xf borderId="7" fillId="14" fontId="8" numFmtId="164" xfId="0" applyAlignment="1" applyBorder="1" applyFont="1" applyNumberFormat="1">
      <alignment horizontal="right" readingOrder="0" shrinkToFit="0" vertical="center" wrapText="0"/>
    </xf>
    <xf borderId="7" fillId="14" fontId="18" numFmtId="0" xfId="0" applyAlignment="1" applyBorder="1" applyFont="1">
      <alignment horizontal="center" shrinkToFit="0" vertical="center" wrapText="0"/>
    </xf>
    <xf borderId="7" fillId="14" fontId="8" numFmtId="164" xfId="0" applyAlignment="1" applyBorder="1" applyFont="1" applyNumberFormat="1">
      <alignment horizontal="right" shrinkToFit="0" vertical="center" wrapText="0"/>
    </xf>
    <xf borderId="7" fillId="15" fontId="7" numFmtId="0" xfId="0" applyAlignment="1" applyBorder="1" applyFill="1" applyFont="1">
      <alignment horizontal="left" shrinkToFit="0" vertical="center" wrapText="0"/>
    </xf>
    <xf borderId="7" fillId="15" fontId="8" numFmtId="164" xfId="0" applyAlignment="1" applyBorder="1" applyFont="1" applyNumberFormat="1">
      <alignment horizontal="right" shrinkToFit="0" vertical="center" wrapText="0"/>
    </xf>
    <xf borderId="7" fillId="8" fontId="18" numFmtId="0" xfId="0" applyAlignment="1" applyBorder="1" applyFont="1">
      <alignment horizontal="center" shrinkToFit="0" vertical="center" wrapText="0"/>
    </xf>
    <xf borderId="7" fillId="16" fontId="7" numFmtId="0" xfId="0" applyAlignment="1" applyBorder="1" applyFill="1" applyFont="1">
      <alignment horizontal="left" shrinkToFit="0" vertical="center" wrapText="0"/>
    </xf>
    <xf borderId="7" fillId="16" fontId="8" numFmtId="164" xfId="0" applyAlignment="1" applyBorder="1" applyFont="1" applyNumberFormat="1">
      <alignment horizontal="right" shrinkToFit="0" vertical="center" wrapText="0"/>
    </xf>
    <xf borderId="7" fillId="17" fontId="7" numFmtId="0" xfId="0" applyAlignment="1" applyBorder="1" applyFill="1" applyFont="1">
      <alignment horizontal="left" shrinkToFit="0" vertical="center" wrapText="0"/>
    </xf>
    <xf borderId="7" fillId="17" fontId="8" numFmtId="164" xfId="0" applyAlignment="1" applyBorder="1" applyFont="1" applyNumberFormat="1">
      <alignment horizontal="right" shrinkToFit="0" vertical="center" wrapText="0"/>
    </xf>
    <xf borderId="0" fillId="0" fontId="19" numFmtId="0" xfId="0" applyAlignment="1" applyFont="1">
      <alignment readingOrder="0"/>
    </xf>
    <xf borderId="7" fillId="4" fontId="9" numFmtId="0" xfId="0" applyAlignment="1" applyBorder="1" applyFont="1">
      <alignment horizontal="left" shrinkToFit="0" vertical="center" wrapText="0"/>
    </xf>
    <xf borderId="7" fillId="4" fontId="1" numFmtId="0" xfId="0" applyAlignment="1" applyBorder="1" applyFont="1">
      <alignment shrinkToFit="0" vertical="bottom" wrapText="0"/>
    </xf>
    <xf borderId="7" fillId="15" fontId="9" numFmtId="0" xfId="0" applyAlignment="1" applyBorder="1" applyFont="1">
      <alignment horizontal="left" shrinkToFit="0" vertical="center" wrapText="0"/>
    </xf>
    <xf borderId="7" fillId="15" fontId="1" numFmtId="0" xfId="0" applyAlignment="1" applyBorder="1" applyFont="1">
      <alignment shrinkToFit="0" vertical="bottom" wrapText="0"/>
    </xf>
    <xf borderId="7" fillId="16" fontId="9" numFmtId="0" xfId="0" applyAlignment="1" applyBorder="1" applyFont="1">
      <alignment horizontal="left" shrinkToFit="0" vertical="center" wrapText="0"/>
    </xf>
    <xf borderId="7" fillId="16" fontId="1" numFmtId="0" xfId="0" applyAlignment="1" applyBorder="1" applyFont="1">
      <alignment shrinkToFit="0" vertical="bottom" wrapText="0"/>
    </xf>
    <xf borderId="7" fillId="17" fontId="9" numFmtId="0" xfId="0" applyAlignment="1" applyBorder="1" applyFont="1">
      <alignment horizontal="left" shrinkToFit="0" vertical="center" wrapText="0"/>
    </xf>
    <xf borderId="7" fillId="17" fontId="1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horizontal="left" shrinkToFit="0" vertical="center" wrapText="0"/>
    </xf>
    <xf borderId="8" fillId="2" fontId="20" numFmtId="164" xfId="0" applyAlignment="1" applyBorder="1" applyFont="1" applyNumberFormat="1">
      <alignment horizontal="right" shrinkToFit="0" vertical="center" wrapText="0"/>
    </xf>
    <xf borderId="8" fillId="2" fontId="1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7" fillId="3" fontId="6" numFmtId="165" xfId="0" applyAlignment="1" applyBorder="1" applyFont="1" applyNumberFormat="1">
      <alignment horizontal="center" shrinkToFit="0" vertical="center" wrapText="0"/>
    </xf>
    <xf borderId="7" fillId="11" fontId="18" numFmtId="0" xfId="0" applyAlignment="1" applyBorder="1" applyFont="1">
      <alignment horizontal="center" shrinkToFit="0" vertical="center" wrapText="0"/>
    </xf>
    <xf borderId="7" fillId="11" fontId="7" numFmtId="165" xfId="0" applyAlignment="1" applyBorder="1" applyFont="1" applyNumberFormat="1">
      <alignment horizontal="center" shrinkToFit="0" vertical="center" wrapText="0"/>
    </xf>
    <xf borderId="7" fillId="12" fontId="7" numFmtId="165" xfId="0" applyAlignment="1" applyBorder="1" applyFont="1" applyNumberFormat="1">
      <alignment horizontal="center" readingOrder="0" shrinkToFit="0" vertical="center" wrapText="0"/>
    </xf>
    <xf borderId="7" fillId="12" fontId="7" numFmtId="0" xfId="0" applyAlignment="1" applyBorder="1" applyFont="1">
      <alignment horizontal="center" shrinkToFit="0" vertical="center" wrapText="0"/>
    </xf>
    <xf borderId="7" fillId="12" fontId="7" numFmtId="165" xfId="0" applyAlignment="1" applyBorder="1" applyFont="1" applyNumberFormat="1">
      <alignment horizontal="center" shrinkToFit="0" vertical="center" wrapText="0"/>
    </xf>
    <xf borderId="7" fillId="13" fontId="7" numFmtId="165" xfId="0" applyAlignment="1" applyBorder="1" applyFont="1" applyNumberFormat="1">
      <alignment horizontal="center" readingOrder="0" shrinkToFit="0" vertical="center" wrapText="0"/>
    </xf>
    <xf borderId="7" fillId="13" fontId="7" numFmtId="0" xfId="0" applyAlignment="1" applyBorder="1" applyFont="1">
      <alignment horizontal="center" shrinkToFit="0" vertical="center" wrapText="0"/>
    </xf>
    <xf borderId="7" fillId="13" fontId="7" numFmtId="165" xfId="0" applyAlignment="1" applyBorder="1" applyFont="1" applyNumberFormat="1">
      <alignment horizontal="center" shrinkToFit="0" vertical="center" wrapText="0"/>
    </xf>
    <xf borderId="7" fillId="14" fontId="7" numFmtId="165" xfId="0" applyAlignment="1" applyBorder="1" applyFont="1" applyNumberFormat="1">
      <alignment horizontal="center" readingOrder="0" shrinkToFit="0" vertical="center" wrapText="0"/>
    </xf>
    <xf borderId="7" fillId="14" fontId="7" numFmtId="0" xfId="0" applyAlignment="1" applyBorder="1" applyFont="1">
      <alignment horizontal="center" shrinkToFit="0" vertical="center" wrapText="0"/>
    </xf>
    <xf borderId="7" fillId="14" fontId="7" numFmtId="165" xfId="0" applyAlignment="1" applyBorder="1" applyFont="1" applyNumberFormat="1">
      <alignment horizontal="center" shrinkToFit="0" vertical="center" wrapText="0"/>
    </xf>
    <xf borderId="7" fillId="15" fontId="7" numFmtId="165" xfId="0" applyAlignment="1" applyBorder="1" applyFont="1" applyNumberFormat="1">
      <alignment horizontal="center" shrinkToFit="0" vertical="center" wrapText="0"/>
    </xf>
    <xf borderId="7" fillId="15" fontId="7" numFmtId="0" xfId="0" applyAlignment="1" applyBorder="1" applyFont="1">
      <alignment horizontal="center" shrinkToFit="0" vertical="center" wrapText="0"/>
    </xf>
    <xf borderId="7" fillId="16" fontId="7" numFmtId="165" xfId="0" applyAlignment="1" applyBorder="1" applyFont="1" applyNumberFormat="1">
      <alignment horizontal="center" shrinkToFit="0" vertical="center" wrapText="0"/>
    </xf>
    <xf borderId="7" fillId="16" fontId="7" numFmtId="0" xfId="0" applyAlignment="1" applyBorder="1" applyFont="1">
      <alignment horizontal="center" shrinkToFit="0" vertical="center" wrapText="0"/>
    </xf>
    <xf borderId="7" fillId="17" fontId="7" numFmtId="165" xfId="0" applyAlignment="1" applyBorder="1" applyFont="1" applyNumberFormat="1">
      <alignment horizontal="center" shrinkToFit="0" vertical="center" wrapText="0"/>
    </xf>
    <xf borderId="7" fillId="17" fontId="7" numFmtId="0" xfId="0" applyAlignment="1" applyBorder="1" applyFont="1">
      <alignment horizontal="center" shrinkToFit="0" vertical="center" wrapText="0"/>
    </xf>
    <xf borderId="7" fillId="4" fontId="7" numFmtId="165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7" fillId="4" fontId="1" numFmtId="165" xfId="0" applyAlignment="1" applyBorder="1" applyFont="1" applyNumberFormat="1">
      <alignment shrinkToFit="0" vertical="bottom" wrapText="0"/>
    </xf>
    <xf borderId="7" fillId="15" fontId="1" numFmtId="165" xfId="0" applyAlignment="1" applyBorder="1" applyFont="1" applyNumberFormat="1">
      <alignment shrinkToFit="0" vertical="bottom" wrapText="0"/>
    </xf>
    <xf borderId="7" fillId="16" fontId="1" numFmtId="165" xfId="0" applyAlignment="1" applyBorder="1" applyFont="1" applyNumberFormat="1">
      <alignment shrinkToFit="0" vertical="bottom" wrapText="0"/>
    </xf>
    <xf borderId="7" fillId="17" fontId="1" numFmtId="165" xfId="0" applyAlignment="1" applyBorder="1" applyFont="1" applyNumberFormat="1">
      <alignment shrinkToFit="0" vertical="bottom" wrapText="0"/>
    </xf>
    <xf borderId="1" fillId="9" fontId="16" numFmtId="0" xfId="0" applyAlignment="1" applyBorder="1" applyFont="1">
      <alignment horizontal="center" readingOrder="0" shrinkToFit="0" vertical="center" wrapText="0"/>
    </xf>
    <xf borderId="4" fillId="7" fontId="17" numFmtId="0" xfId="0" applyAlignment="1" applyBorder="1" applyFont="1">
      <alignment horizontal="center" shrinkToFit="0" vertical="center" wrapText="0"/>
    </xf>
    <xf borderId="7" fillId="7" fontId="6" numFmtId="165" xfId="0" applyAlignment="1" applyBorder="1" applyFont="1" applyNumberFormat="1">
      <alignment horizontal="center" shrinkToFit="0" vertical="center" wrapText="0"/>
    </xf>
    <xf borderId="7" fillId="18" fontId="7" numFmtId="0" xfId="0" applyAlignment="1" applyBorder="1" applyFill="1" applyFont="1">
      <alignment horizontal="left" readingOrder="0" shrinkToFit="0" vertical="center" wrapText="0"/>
    </xf>
    <xf borderId="7" fillId="19" fontId="7" numFmtId="165" xfId="0" applyAlignment="1" applyBorder="1" applyFill="1" applyFont="1" applyNumberFormat="1">
      <alignment horizontal="center" readingOrder="0" shrinkToFit="0" vertical="center" wrapText="0"/>
    </xf>
    <xf borderId="7" fillId="19" fontId="7" numFmtId="0" xfId="0" applyAlignment="1" applyBorder="1" applyFont="1">
      <alignment horizontal="left" readingOrder="0" shrinkToFit="0" vertical="center" wrapText="0"/>
    </xf>
    <xf borderId="7" fillId="19" fontId="8" numFmtId="164" xfId="0" applyAlignment="1" applyBorder="1" applyFont="1" applyNumberFormat="1">
      <alignment horizontal="right" readingOrder="0" shrinkToFit="0" vertical="center" wrapText="0"/>
    </xf>
    <xf borderId="7" fillId="8" fontId="18" numFmtId="0" xfId="0" applyAlignment="1" applyBorder="1" applyFont="1">
      <alignment horizontal="center" readingOrder="0" shrinkToFit="0" vertical="center" wrapText="0"/>
    </xf>
    <xf borderId="7" fillId="19" fontId="7" numFmtId="0" xfId="0" applyAlignment="1" applyBorder="1" applyFont="1">
      <alignment horizontal="left" shrinkToFit="0" vertical="center" wrapText="0"/>
    </xf>
    <xf borderId="7" fillId="18" fontId="7" numFmtId="165" xfId="0" applyAlignment="1" applyBorder="1" applyFont="1" applyNumberFormat="1">
      <alignment horizontal="center" readingOrder="0" shrinkToFit="0" vertical="center" wrapText="0"/>
    </xf>
    <xf borderId="7" fillId="15" fontId="7" numFmtId="165" xfId="0" applyAlignment="1" applyBorder="1" applyFont="1" applyNumberFormat="1">
      <alignment horizontal="center" readingOrder="0" shrinkToFit="0" vertical="center" wrapText="0"/>
    </xf>
    <xf borderId="7" fillId="18" fontId="8" numFmtId="164" xfId="0" applyAlignment="1" applyBorder="1" applyFont="1" applyNumberFormat="1">
      <alignment horizontal="right" readingOrder="0" shrinkToFit="0" vertical="center" wrapText="0"/>
    </xf>
    <xf borderId="7" fillId="18" fontId="7" numFmtId="0" xfId="0" applyAlignment="1" applyBorder="1" applyFont="1">
      <alignment horizontal="left" shrinkToFit="0" vertical="center" wrapText="0"/>
    </xf>
    <xf borderId="7" fillId="15" fontId="7" numFmtId="0" xfId="0" applyAlignment="1" applyBorder="1" applyFont="1">
      <alignment horizontal="left" readingOrder="0" shrinkToFit="0" vertical="center" wrapText="0"/>
    </xf>
    <xf borderId="7" fillId="15" fontId="8" numFmtId="164" xfId="0" applyAlignment="1" applyBorder="1" applyFont="1" applyNumberFormat="1">
      <alignment horizontal="right" readingOrder="0" shrinkToFit="0" vertical="center" wrapText="0"/>
    </xf>
    <xf borderId="7" fillId="18" fontId="8" numFmtId="164" xfId="0" applyAlignment="1" applyBorder="1" applyFont="1" applyNumberFormat="1">
      <alignment horizontal="right" shrinkToFit="0" vertical="center" wrapText="0"/>
    </xf>
    <xf borderId="7" fillId="20" fontId="7" numFmtId="165" xfId="0" applyAlignment="1" applyBorder="1" applyFill="1" applyFont="1" applyNumberFormat="1">
      <alignment horizontal="center" readingOrder="0" shrinkToFit="0" vertical="center" wrapText="0"/>
    </xf>
    <xf borderId="7" fillId="20" fontId="7" numFmtId="0" xfId="0" applyAlignment="1" applyBorder="1" applyFont="1">
      <alignment horizontal="left" readingOrder="0" shrinkToFit="0" vertical="center" wrapText="0"/>
    </xf>
    <xf borderId="7" fillId="20" fontId="8" numFmtId="164" xfId="0" applyAlignment="1" applyBorder="1" applyFont="1" applyNumberFormat="1">
      <alignment horizontal="right" readingOrder="0" shrinkToFit="0" vertical="center" wrapText="0"/>
    </xf>
    <xf borderId="7" fillId="20" fontId="7" numFmtId="0" xfId="0" applyAlignment="1" applyBorder="1" applyFont="1">
      <alignment horizontal="left" shrinkToFit="0" vertical="center" wrapText="0"/>
    </xf>
    <xf borderId="7" fillId="19" fontId="7" numFmtId="165" xfId="0" applyAlignment="1" applyBorder="1" applyFont="1" applyNumberFormat="1">
      <alignment horizontal="center" shrinkToFit="0" vertical="center" wrapText="0"/>
    </xf>
    <xf borderId="7" fillId="16" fontId="8" numFmtId="164" xfId="0" applyAlignment="1" applyBorder="1" applyFont="1" applyNumberFormat="1">
      <alignment horizontal="right" readingOrder="0" shrinkToFit="0" vertical="center" wrapText="0"/>
    </xf>
    <xf borderId="7" fillId="16" fontId="7" numFmtId="0" xfId="0" applyAlignment="1" applyBorder="1" applyFont="1">
      <alignment horizontal="left" readingOrder="0" shrinkToFit="0" vertical="center" wrapText="0"/>
    </xf>
    <xf borderId="7" fillId="20" fontId="7" numFmtId="165" xfId="0" applyAlignment="1" applyBorder="1" applyFont="1" applyNumberFormat="1">
      <alignment horizontal="center" shrinkToFit="0" vertical="center" wrapText="0"/>
    </xf>
    <xf borderId="7" fillId="20" fontId="8" numFmtId="164" xfId="0" applyAlignment="1" applyBorder="1" applyFont="1" applyNumberFormat="1">
      <alignment horizontal="right" shrinkToFit="0" vertical="center" wrapText="0"/>
    </xf>
    <xf borderId="7" fillId="21" fontId="7" numFmtId="165" xfId="0" applyAlignment="1" applyBorder="1" applyFill="1" applyFont="1" applyNumberFormat="1">
      <alignment horizontal="center" shrinkToFit="0" vertical="center" wrapText="0"/>
    </xf>
    <xf borderId="7" fillId="21" fontId="7" numFmtId="0" xfId="0" applyAlignment="1" applyBorder="1" applyFont="1">
      <alignment horizontal="left" shrinkToFit="0" vertical="center" wrapText="0"/>
    </xf>
    <xf borderId="7" fillId="21" fontId="8" numFmtId="164" xfId="0" applyAlignment="1" applyBorder="1" applyFont="1" applyNumberFormat="1">
      <alignment horizontal="right" shrinkToFit="0" vertical="center" wrapText="0"/>
    </xf>
    <xf borderId="7" fillId="18" fontId="7" numFmtId="165" xfId="0" applyAlignment="1" applyBorder="1" applyFont="1" applyNumberFormat="1">
      <alignment horizontal="center" shrinkToFit="0" vertical="center" wrapText="0"/>
    </xf>
    <xf borderId="7" fillId="18" fontId="7" numFmtId="0" xfId="0" applyAlignment="1" applyBorder="1" applyFont="1">
      <alignment horizontal="center" shrinkToFit="0" vertical="center" wrapText="0"/>
    </xf>
    <xf borderId="7" fillId="8" fontId="7" numFmtId="165" xfId="0" applyAlignment="1" applyBorder="1" applyFont="1" applyNumberFormat="1">
      <alignment horizontal="center" readingOrder="0" shrinkToFit="0" vertical="center" wrapText="0"/>
    </xf>
    <xf borderId="7" fillId="8" fontId="8" numFmtId="164" xfId="0" applyAlignment="1" applyBorder="1" applyFont="1" applyNumberFormat="1">
      <alignment horizontal="right" readingOrder="0" shrinkToFit="0" vertical="center" wrapText="0"/>
    </xf>
    <xf borderId="7" fillId="7" fontId="21" numFmtId="0" xfId="0" applyAlignment="1" applyBorder="1" applyFont="1">
      <alignment horizontal="left" readingOrder="0" shrinkToFit="0" vertical="center" wrapText="0"/>
    </xf>
    <xf borderId="7" fillId="7" fontId="21" numFmtId="165" xfId="0" applyAlignment="1" applyBorder="1" applyFont="1" applyNumberFormat="1">
      <alignment horizontal="center" readingOrder="0" shrinkToFit="0" vertical="center" wrapText="0"/>
    </xf>
    <xf borderId="7" fillId="7" fontId="21" numFmtId="164" xfId="0" applyAlignment="1" applyBorder="1" applyFont="1" applyNumberFormat="1">
      <alignment horizontal="right" readingOrder="0" shrinkToFit="0" vertical="center" wrapText="0"/>
    </xf>
    <xf borderId="7" fillId="7" fontId="6" numFmtId="0" xfId="0" applyAlignment="1" applyBorder="1" applyFont="1">
      <alignment horizontal="center" readingOrder="0" shrinkToFit="0" vertical="center" wrapText="0"/>
    </xf>
    <xf borderId="7" fillId="7" fontId="21" numFmtId="0" xfId="0" applyAlignment="1" applyBorder="1" applyFont="1">
      <alignment horizontal="left" shrinkToFit="0" vertical="center" wrapText="0"/>
    </xf>
    <xf borderId="7" fillId="7" fontId="21" numFmtId="165" xfId="0" applyAlignment="1" applyBorder="1" applyFont="1" applyNumberFormat="1">
      <alignment horizontal="center" shrinkToFit="0" vertical="center" wrapText="0"/>
    </xf>
    <xf borderId="7" fillId="7" fontId="21" numFmtId="164" xfId="0" applyAlignment="1" applyBorder="1" applyFont="1" applyNumberFormat="1">
      <alignment horizontal="right" shrinkToFit="0" vertical="center" wrapText="0"/>
    </xf>
    <xf borderId="7" fillId="7" fontId="21" numFmtId="166" xfId="0" applyAlignment="1" applyBorder="1" applyFont="1" applyNumberFormat="1">
      <alignment horizontal="center" readingOrder="0" shrinkToFit="0" vertical="center" wrapText="0"/>
    </xf>
    <xf borderId="7" fillId="20" fontId="7" numFmtId="0" xfId="0" applyAlignment="1" applyBorder="1" applyFont="1">
      <alignment horizontal="center" shrinkToFit="0" vertical="center" wrapText="0"/>
    </xf>
    <xf borderId="7" fillId="21" fontId="7" numFmtId="0" xfId="0" applyAlignment="1" applyBorder="1" applyFont="1">
      <alignment horizontal="center" shrinkToFit="0" vertical="center" wrapText="0"/>
    </xf>
    <xf borderId="7" fillId="19" fontId="7" numFmtId="0" xfId="0" applyAlignment="1" applyBorder="1" applyFont="1">
      <alignment horizontal="center" shrinkToFit="0" vertical="center" wrapText="0"/>
    </xf>
    <xf borderId="7" fillId="19" fontId="8" numFmtId="164" xfId="0" applyAlignment="1" applyBorder="1" applyFont="1" applyNumberFormat="1">
      <alignment horizontal="right" shrinkToFit="0" vertical="center" wrapText="0"/>
    </xf>
    <xf borderId="7" fillId="18" fontId="9" numFmtId="0" xfId="0" applyAlignment="1" applyBorder="1" applyFont="1">
      <alignment horizontal="left" shrinkToFit="0" vertical="center" wrapText="0"/>
    </xf>
    <xf borderId="7" fillId="18" fontId="1" numFmtId="165" xfId="0" applyAlignment="1" applyBorder="1" applyFont="1" applyNumberFormat="1">
      <alignment shrinkToFit="0" vertical="bottom" wrapText="0"/>
    </xf>
    <xf borderId="7" fillId="18" fontId="1" numFmtId="0" xfId="0" applyAlignment="1" applyBorder="1" applyFont="1">
      <alignment shrinkToFit="0" vertical="bottom" wrapText="0"/>
    </xf>
    <xf borderId="7" fillId="19" fontId="9" numFmtId="0" xfId="0" applyAlignment="1" applyBorder="1" applyFont="1">
      <alignment horizontal="left" shrinkToFit="0" vertical="center" wrapText="0"/>
    </xf>
    <xf borderId="7" fillId="19" fontId="1" numFmtId="165" xfId="0" applyAlignment="1" applyBorder="1" applyFont="1" applyNumberFormat="1">
      <alignment shrinkToFit="0" vertical="bottom" wrapText="0"/>
    </xf>
    <xf borderId="7" fillId="19" fontId="1" numFmtId="0" xfId="0" applyAlignment="1" applyBorder="1" applyFont="1">
      <alignment shrinkToFit="0" vertical="bottom" wrapText="0"/>
    </xf>
    <xf borderId="7" fillId="19" fontId="9" numFmtId="0" xfId="0" applyAlignment="1" applyBorder="1" applyFont="1">
      <alignment horizontal="left" readingOrder="0" shrinkToFit="0" vertical="center" wrapText="0"/>
    </xf>
    <xf borderId="7" fillId="16" fontId="9" numFmtId="0" xfId="0" applyAlignment="1" applyBorder="1" applyFont="1">
      <alignment horizontal="left" readingOrder="0" shrinkToFit="0" vertical="center" wrapText="0"/>
    </xf>
    <xf borderId="7" fillId="20" fontId="9" numFmtId="0" xfId="0" applyAlignment="1" applyBorder="1" applyFont="1">
      <alignment horizontal="left" shrinkToFit="0" vertical="center" wrapText="0"/>
    </xf>
    <xf borderId="7" fillId="20" fontId="1" numFmtId="165" xfId="0" applyAlignment="1" applyBorder="1" applyFont="1" applyNumberFormat="1">
      <alignment shrinkToFit="0" vertical="bottom" wrapText="0"/>
    </xf>
    <xf borderId="7" fillId="20" fontId="1" numFmtId="0" xfId="0" applyAlignment="1" applyBorder="1" applyFont="1">
      <alignment shrinkToFit="0" vertical="bottom" wrapText="0"/>
    </xf>
    <xf borderId="7" fillId="21" fontId="9" numFmtId="0" xfId="0" applyAlignment="1" applyBorder="1" applyFont="1">
      <alignment horizontal="left" shrinkToFit="0" vertical="center" wrapText="0"/>
    </xf>
    <xf borderId="7" fillId="21" fontId="1" numFmtId="165" xfId="0" applyAlignment="1" applyBorder="1" applyFont="1" applyNumberFormat="1">
      <alignment shrinkToFit="0" vertical="bottom" wrapText="0"/>
    </xf>
    <xf borderId="7" fillId="21" fontId="1" numFmtId="0" xfId="0" applyAlignment="1" applyBorder="1" applyFont="1">
      <alignment shrinkToFit="0" vertical="bottom" wrapText="0"/>
    </xf>
    <xf borderId="1" fillId="9" fontId="10" numFmtId="0" xfId="0" applyAlignment="1" applyBorder="1" applyFont="1">
      <alignment horizontal="left" shrinkToFit="0" vertical="center" wrapText="0"/>
    </xf>
    <xf borderId="8" fillId="9" fontId="20" numFmtId="164" xfId="0" applyAlignment="1" applyBorder="1" applyFont="1" applyNumberFormat="1">
      <alignment horizontal="right" shrinkToFit="0" vertical="center" wrapText="0"/>
    </xf>
    <xf borderId="8" fillId="9" fontId="1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left" shrinkToFit="0" vertical="center" wrapText="0"/>
    </xf>
    <xf borderId="10" fillId="0" fontId="3" numFmtId="0" xfId="0" applyBorder="1" applyFont="1"/>
    <xf borderId="9" fillId="7" fontId="6" numFmtId="0" xfId="0" applyAlignment="1" applyBorder="1" applyFont="1">
      <alignment horizontal="left" shrinkToFit="0" vertical="center" wrapText="0"/>
    </xf>
    <xf borderId="8" fillId="2" fontId="11" numFmtId="0" xfId="0" applyAlignment="1" applyBorder="1" applyFont="1">
      <alignment horizontal="left" shrinkToFit="0" vertical="center" wrapText="0"/>
    </xf>
    <xf borderId="8" fillId="2" fontId="11" numFmtId="164" xfId="0" applyAlignment="1" applyBorder="1" applyFont="1" applyNumberFormat="1">
      <alignment horizontal="right" readingOrder="0" shrinkToFit="0" vertical="center" wrapText="0"/>
    </xf>
    <xf borderId="9" fillId="18" fontId="8" numFmtId="164" xfId="0" applyAlignment="1" applyBorder="1" applyFont="1" applyNumberFormat="1">
      <alignment horizontal="right" shrinkToFit="0" vertical="center" wrapText="0"/>
    </xf>
    <xf borderId="0" fillId="0" fontId="1" numFmtId="0" xfId="0" applyAlignment="1" applyFont="1">
      <alignment shrinkToFit="0" vertical="bottom" wrapText="1"/>
    </xf>
    <xf borderId="8" fillId="2" fontId="16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shrinkToFit="0" wrapText="1"/>
    </xf>
    <xf borderId="7" fillId="3" fontId="10" numFmtId="0" xfId="0" applyAlignment="1" applyBorder="1" applyFont="1">
      <alignment horizontal="left" shrinkToFit="0" vertical="center" wrapText="1"/>
    </xf>
    <xf borderId="7" fillId="10" fontId="7" numFmtId="0" xfId="0" applyAlignment="1" applyBorder="1" applyFont="1">
      <alignment horizontal="left" shrinkToFit="0" vertical="center" wrapText="1"/>
    </xf>
    <xf borderId="7" fillId="6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drigo Ramos" id="{9961555a-ba45-4657-890b-8e71e4faa23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6" dT="2026-05-14T11:39:27.00" personId="{9961555a-ba45-4657-890b-8e71e4faa23d}" id="{b2d282ae-8df1-48b1-82df-cef1fb0141c2}" done="0">
    <x18tc:text xml:space="preserve">Monica: 200
Schmidt: 500</x18tc:text>
  </x18tc:threadedComment>
  <x18tc:threadedComment ref="F37" dT="2026-05-14T11:41:25.00" personId="{9961555a-ba45-4657-890b-8e71e4faa23d}" id="{052790e4-38c6-4a9d-b9bb-e5b2c6c9495c}" done="0">
    <x18tc:text xml:space="preserve">Ensaio: márcia, roditi, marcio, Anderson e Silvana</x18tc:text>
  </x18tc:threadedComment>
  <x18tc:threadedComment ref="G36" dT="2026-05-14T11:33:49.00" personId="{9961555a-ba45-4657-890b-8e71e4faa23d}" id="{5ce45d86-684b-44e6-99f7-c71736e82100}" done="1">
    <x18tc:text xml:space="preserve">Anderson: filmagem, 300.
Vic: 559,59
Andrioli: 650
Vic: 100 ingresso
Zion: 850
tree: 800
Monica: 200
Schmidt: 500</x18tc:text>
  </x18tc:threadedComment>
  <x18tc:threadedComment ref="G40" dT="2026-05-14T11:30:19.00" personId="{9961555a-ba45-4657-890b-8e71e4faa23d}" id="{f03144c6-3891-4ea4-88e7-fbbef55d91ec}" done="0">
    <x18tc:text xml:space="preserve">Robson: 300</x18tc:text>
  </x18tc:threadedComment>
  <x18tc:threadedComment ref="F36" dT="2026-05-14T11:40:48.00" personId="{9961555a-ba45-4657-890b-8e71e4faa23d}" id="{f0d2a71c-67a0-41fe-a5a2-260d2ef93081}" done="1">
    <x18tc:text xml:space="preserve">Anderson: 300
Vic:559,59
Andrioli: 650
Vic: 100
Zion: 850
Tree: 800</x18tc:text>
  </x18tc:threadedComment>
  <x18tc:threadedComment ref="F40" dT="2026-05-08T12:37:58.00" personId="{9961555a-ba45-4657-890b-8e71e4faa23d}" id="{688d07a9-343c-42ca-8290-a8eae2581201}" done="0">
    <x18tc:text xml:space="preserve">Robson</x18tc:text>
  </x18tc:threadedComment>
  <x18tc:threadedComment ref="F40" dT="2026-05-08T12:42:59.00" personId="{9961555a-ba45-4657-890b-8e71e4faa23d}" id="{fdcc800d-902d-4801-afaa-69d03b703efb}" parentId="{688d07a9-343c-42ca-8290-a8eae2581201}">
    <x18tc:text xml:space="preserve">78 da kiwify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3.57"/>
    <col customWidth="1" min="3" max="15" width="14.0"/>
    <col customWidth="1" min="16" max="26" width="8.71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19.5" customHeight="1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1.75" customHeight="1">
      <c r="A4" s="1"/>
      <c r="B4" s="8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</row>
    <row r="5" ht="19.5" customHeight="1">
      <c r="A5" s="1"/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</row>
    <row r="6" ht="19.5" customHeight="1">
      <c r="A6" s="1"/>
      <c r="B6" s="10" t="s">
        <v>17</v>
      </c>
      <c r="C6" s="11">
        <v>0.0</v>
      </c>
      <c r="D6" s="11">
        <v>0.0</v>
      </c>
      <c r="E6" s="11">
        <v>0.0</v>
      </c>
      <c r="F6" s="11">
        <f>SUM('🏢 Empresa'!G5:G7,'🏢 Empresa'!G9,'🏢 Empresa'!G10,'🏢 Empresa'!G12,'🏢 Empresa'!G13)</f>
        <v>2011.82</v>
      </c>
      <c r="G6" s="11">
        <f>SUM('🏢 Empresa'!G37:G39,'🏢 Empresa'!G41,'🏢 Empresa'!G42,'🏢 Empresa'!G43,'🏢 Empresa'!G44)</f>
        <v>2045.99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2">
        <f t="shared" ref="O6:O10" si="1">SUM(C6:N6)</f>
        <v>4057.81</v>
      </c>
    </row>
    <row r="7" ht="19.5" customHeight="1">
      <c r="A7" s="1"/>
      <c r="B7" s="13" t="s">
        <v>18</v>
      </c>
      <c r="C7" s="14">
        <v>0.0</v>
      </c>
      <c r="D7" s="14">
        <v>0.0</v>
      </c>
      <c r="E7" s="14">
        <v>0.0</v>
      </c>
      <c r="F7" s="14">
        <f>SUM('🏢 Empresa'!G8,'🏢 Empresa'!G17,'🏢 Empresa'!G18)</f>
        <v>96.99</v>
      </c>
      <c r="G7" s="14">
        <f>SUM('🏢 Empresa'!G40,'🏢 Empresa'!G47,'🏢 Empresa'!G48)</f>
        <v>65.9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2">
        <f t="shared" si="1"/>
        <v>162.89</v>
      </c>
    </row>
    <row r="8" ht="19.5" customHeight="1">
      <c r="A8" s="1"/>
      <c r="B8" s="10" t="s">
        <v>19</v>
      </c>
      <c r="C8" s="11">
        <v>0.0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2">
        <f t="shared" si="1"/>
        <v>0</v>
      </c>
    </row>
    <row r="9" ht="19.5" customHeight="1">
      <c r="A9" s="1"/>
      <c r="B9" s="13" t="s">
        <v>20</v>
      </c>
      <c r="C9" s="14">
        <v>0.0</v>
      </c>
      <c r="D9" s="14">
        <v>0.0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2">
        <f t="shared" si="1"/>
        <v>0</v>
      </c>
    </row>
    <row r="10" ht="21.75" customHeight="1">
      <c r="A10" s="1"/>
      <c r="B10" s="15" t="s">
        <v>21</v>
      </c>
      <c r="C10" s="16">
        <f t="shared" ref="C10:N10" si="2">SUM(C6:C9)</f>
        <v>0</v>
      </c>
      <c r="D10" s="16">
        <f t="shared" si="2"/>
        <v>0</v>
      </c>
      <c r="E10" s="16">
        <f t="shared" si="2"/>
        <v>0</v>
      </c>
      <c r="F10" s="16">
        <f t="shared" si="2"/>
        <v>2108.81</v>
      </c>
      <c r="G10" s="16">
        <f t="shared" si="2"/>
        <v>2111.89</v>
      </c>
      <c r="H10" s="16">
        <f t="shared" si="2"/>
        <v>0</v>
      </c>
      <c r="I10" s="16">
        <f t="shared" si="2"/>
        <v>0</v>
      </c>
      <c r="J10" s="16">
        <f t="shared" si="2"/>
        <v>0</v>
      </c>
      <c r="K10" s="16">
        <f t="shared" si="2"/>
        <v>0</v>
      </c>
      <c r="L10" s="16">
        <f t="shared" si="2"/>
        <v>0</v>
      </c>
      <c r="M10" s="16">
        <f t="shared" si="2"/>
        <v>0</v>
      </c>
      <c r="N10" s="16">
        <f t="shared" si="2"/>
        <v>0</v>
      </c>
      <c r="O10" s="17">
        <f t="shared" si="1"/>
        <v>4220.7</v>
      </c>
    </row>
    <row r="11" ht="9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ht="21.75" customHeight="1">
      <c r="A12" s="1"/>
      <c r="B12" s="18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4"/>
    </row>
    <row r="13" ht="19.5" customHeight="1">
      <c r="A13" s="1"/>
      <c r="B13" s="19" t="s">
        <v>3</v>
      </c>
      <c r="C13" s="19" t="s">
        <v>4</v>
      </c>
      <c r="D13" s="19" t="s">
        <v>5</v>
      </c>
      <c r="E13" s="19" t="s">
        <v>6</v>
      </c>
      <c r="F13" s="19" t="s">
        <v>7</v>
      </c>
      <c r="G13" s="19" t="s">
        <v>8</v>
      </c>
      <c r="H13" s="19" t="s">
        <v>9</v>
      </c>
      <c r="I13" s="19" t="s">
        <v>10</v>
      </c>
      <c r="J13" s="19" t="s">
        <v>11</v>
      </c>
      <c r="K13" s="19" t="s">
        <v>12</v>
      </c>
      <c r="L13" s="19" t="s">
        <v>13</v>
      </c>
      <c r="M13" s="19" t="s">
        <v>14</v>
      </c>
      <c r="N13" s="19" t="s">
        <v>15</v>
      </c>
      <c r="O13" s="19" t="s">
        <v>16</v>
      </c>
    </row>
    <row r="14" ht="19.5" customHeight="1">
      <c r="A14" s="1"/>
      <c r="B14" s="20" t="s">
        <v>23</v>
      </c>
      <c r="C14" s="21">
        <v>0.0</v>
      </c>
      <c r="D14" s="21">
        <v>0.0</v>
      </c>
      <c r="E14" s="21">
        <v>0.0</v>
      </c>
      <c r="F14" s="21">
        <v>0.0</v>
      </c>
      <c r="G14" s="21">
        <v>0.0</v>
      </c>
      <c r="H14" s="21">
        <v>0.0</v>
      </c>
      <c r="I14" s="21">
        <v>0.0</v>
      </c>
      <c r="J14" s="21">
        <v>0.0</v>
      </c>
      <c r="K14" s="21">
        <v>0.0</v>
      </c>
      <c r="L14" s="21">
        <v>0.0</v>
      </c>
      <c r="M14" s="21">
        <v>0.0</v>
      </c>
      <c r="N14" s="21">
        <v>0.0</v>
      </c>
      <c r="O14" s="12">
        <f t="shared" ref="O14:O23" si="3">SUM(C14:N14)</f>
        <v>0</v>
      </c>
    </row>
    <row r="15" ht="19.5" customHeight="1">
      <c r="A15" s="1"/>
      <c r="B15" s="13" t="s">
        <v>24</v>
      </c>
      <c r="C15" s="14">
        <v>0.0</v>
      </c>
      <c r="D15" s="14">
        <v>0.0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12">
        <f t="shared" si="3"/>
        <v>0</v>
      </c>
    </row>
    <row r="16" ht="19.5" customHeight="1">
      <c r="A16" s="1"/>
      <c r="B16" s="22" t="s">
        <v>25</v>
      </c>
      <c r="C16" s="14">
        <v>0.0</v>
      </c>
      <c r="D16" s="14">
        <v>0.0</v>
      </c>
      <c r="E16" s="14">
        <v>0.0</v>
      </c>
      <c r="F16" s="14">
        <v>0.0</v>
      </c>
      <c r="G16" s="14">
        <v>0.0</v>
      </c>
      <c r="H16" s="14">
        <v>0.0</v>
      </c>
      <c r="I16" s="14">
        <v>0.0</v>
      </c>
      <c r="J16" s="14">
        <v>0.0</v>
      </c>
      <c r="K16" s="14">
        <v>0.0</v>
      </c>
      <c r="L16" s="14">
        <v>0.0</v>
      </c>
      <c r="M16" s="14">
        <v>0.0</v>
      </c>
      <c r="N16" s="14">
        <v>0.0</v>
      </c>
      <c r="O16" s="12">
        <f t="shared" si="3"/>
        <v>0</v>
      </c>
    </row>
    <row r="17" ht="19.5" customHeight="1">
      <c r="A17" s="1"/>
      <c r="B17" s="22" t="s">
        <v>26</v>
      </c>
      <c r="C17" s="14">
        <v>0.0</v>
      </c>
      <c r="D17" s="14">
        <v>0.0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2">
        <f t="shared" si="3"/>
        <v>0</v>
      </c>
    </row>
    <row r="18" ht="19.5" customHeight="1">
      <c r="A18" s="1"/>
      <c r="B18" s="20" t="s">
        <v>27</v>
      </c>
      <c r="C18" s="14">
        <v>0.0</v>
      </c>
      <c r="D18" s="14">
        <v>0.0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  <c r="K18" s="14">
        <v>0.0</v>
      </c>
      <c r="L18" s="14">
        <v>0.0</v>
      </c>
      <c r="M18" s="14">
        <v>0.0</v>
      </c>
      <c r="N18" s="14">
        <v>0.0</v>
      </c>
      <c r="O18" s="12">
        <f t="shared" si="3"/>
        <v>0</v>
      </c>
    </row>
    <row r="19" ht="19.5" customHeight="1">
      <c r="A19" s="1"/>
      <c r="B19" s="23" t="s">
        <v>28</v>
      </c>
      <c r="C19" s="14">
        <v>0.0</v>
      </c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14">
        <v>0.0</v>
      </c>
      <c r="N19" s="14">
        <v>0.0</v>
      </c>
      <c r="O19" s="12">
        <f t="shared" si="3"/>
        <v>0</v>
      </c>
    </row>
    <row r="20" ht="19.5" customHeight="1">
      <c r="A20" s="1"/>
      <c r="B20" s="13" t="s">
        <v>29</v>
      </c>
      <c r="C20" s="14">
        <v>0.0</v>
      </c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4">
        <v>0.0</v>
      </c>
      <c r="N20" s="14">
        <v>0.0</v>
      </c>
      <c r="O20" s="12">
        <f t="shared" si="3"/>
        <v>0</v>
      </c>
    </row>
    <row r="21" ht="19.5" customHeight="1">
      <c r="A21" s="1"/>
      <c r="B21" s="20" t="s">
        <v>30</v>
      </c>
      <c r="C21" s="21">
        <v>0.0</v>
      </c>
      <c r="D21" s="21">
        <v>0.0</v>
      </c>
      <c r="E21" s="21">
        <v>0.0</v>
      </c>
      <c r="F21" s="21">
        <v>0.0</v>
      </c>
      <c r="G21" s="21">
        <v>0.0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  <c r="N21" s="21">
        <v>0.0</v>
      </c>
      <c r="O21" s="12">
        <f t="shared" si="3"/>
        <v>0</v>
      </c>
    </row>
    <row r="22" ht="19.5" customHeight="1">
      <c r="A22" s="1"/>
      <c r="B22" s="13" t="s">
        <v>31</v>
      </c>
      <c r="C22" s="14">
        <v>0.0</v>
      </c>
      <c r="D22" s="14">
        <v>0.0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  <c r="M22" s="14">
        <v>0.0</v>
      </c>
      <c r="N22" s="14">
        <v>0.0</v>
      </c>
      <c r="O22" s="12">
        <f t="shared" si="3"/>
        <v>0</v>
      </c>
    </row>
    <row r="23" ht="21.75" customHeight="1">
      <c r="A23" s="1"/>
      <c r="B23" s="24" t="s">
        <v>32</v>
      </c>
      <c r="C23" s="25">
        <f t="shared" ref="C23:N23" si="4">SUM(C14:C22)</f>
        <v>0</v>
      </c>
      <c r="D23" s="25">
        <f t="shared" si="4"/>
        <v>0</v>
      </c>
      <c r="E23" s="25">
        <f t="shared" si="4"/>
        <v>0</v>
      </c>
      <c r="F23" s="25">
        <f t="shared" si="4"/>
        <v>0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0</v>
      </c>
      <c r="M23" s="25">
        <f t="shared" si="4"/>
        <v>0</v>
      </c>
      <c r="N23" s="25">
        <f t="shared" si="4"/>
        <v>0</v>
      </c>
      <c r="O23" s="26">
        <f t="shared" si="3"/>
        <v>0</v>
      </c>
    </row>
    <row r="24" ht="9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21.75" customHeight="1">
      <c r="A25" s="1"/>
      <c r="B25" s="27" t="s">
        <v>33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4"/>
    </row>
    <row r="26" ht="24.0" customHeight="1">
      <c r="A26" s="1"/>
      <c r="B26" s="28" t="s">
        <v>34</v>
      </c>
      <c r="C26" s="29">
        <f t="shared" ref="C26:N26" si="5">C10+C23</f>
        <v>0</v>
      </c>
      <c r="D26" s="29">
        <f t="shared" si="5"/>
        <v>0</v>
      </c>
      <c r="E26" s="29">
        <f t="shared" si="5"/>
        <v>0</v>
      </c>
      <c r="F26" s="29">
        <f t="shared" si="5"/>
        <v>2108.81</v>
      </c>
      <c r="G26" s="29">
        <f t="shared" si="5"/>
        <v>2111.89</v>
      </c>
      <c r="H26" s="29">
        <f t="shared" si="5"/>
        <v>0</v>
      </c>
      <c r="I26" s="29">
        <f t="shared" si="5"/>
        <v>0</v>
      </c>
      <c r="J26" s="29">
        <f t="shared" si="5"/>
        <v>0</v>
      </c>
      <c r="K26" s="29">
        <f t="shared" si="5"/>
        <v>0</v>
      </c>
      <c r="L26" s="29">
        <f t="shared" si="5"/>
        <v>0</v>
      </c>
      <c r="M26" s="29">
        <f t="shared" si="5"/>
        <v>0</v>
      </c>
      <c r="N26" s="29">
        <f t="shared" si="5"/>
        <v>0</v>
      </c>
      <c r="O26" s="29">
        <f>SUM(C26:N26)</f>
        <v>4220.7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30" t="s">
        <v>35</v>
      </c>
      <c r="C29" s="3"/>
      <c r="D29" s="3"/>
      <c r="E29" s="3"/>
      <c r="F29" s="3"/>
      <c r="G29" s="3"/>
      <c r="H29" s="3"/>
      <c r="I29" s="4"/>
      <c r="J29" s="1"/>
      <c r="K29" s="1"/>
      <c r="L29" s="1"/>
      <c r="M29" s="1"/>
      <c r="N29" s="1"/>
      <c r="O29" s="1"/>
    </row>
    <row r="30" ht="18.0" customHeight="1">
      <c r="A30" s="1"/>
      <c r="B30" s="31" t="s">
        <v>36</v>
      </c>
      <c r="C30" s="1"/>
      <c r="D30" s="1"/>
      <c r="E30" s="1"/>
      <c r="F30" s="32" t="s">
        <v>37</v>
      </c>
      <c r="G30" s="1"/>
      <c r="H30" s="1"/>
      <c r="I30" s="1"/>
      <c r="J30" s="1"/>
      <c r="K30" s="1"/>
      <c r="L30" s="1"/>
      <c r="M30" s="1"/>
      <c r="N30" s="1"/>
      <c r="O30" s="1"/>
    </row>
    <row r="31" ht="18.0" customHeight="1">
      <c r="A31" s="1"/>
      <c r="B31" s="33" t="s">
        <v>38</v>
      </c>
      <c r="C31" s="1"/>
      <c r="D31" s="1"/>
      <c r="E31" s="1"/>
      <c r="F31" s="34" t="s">
        <v>39</v>
      </c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35" t="s">
        <v>40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4"/>
    </row>
    <row r="35" ht="15.75" customHeight="1">
      <c r="A35" s="1"/>
      <c r="B35" s="9" t="s">
        <v>3</v>
      </c>
      <c r="C35" s="9" t="s">
        <v>4</v>
      </c>
      <c r="D35" s="9" t="s">
        <v>5</v>
      </c>
      <c r="E35" s="9" t="s">
        <v>6</v>
      </c>
      <c r="F35" s="9" t="s">
        <v>7</v>
      </c>
      <c r="G35" s="9" t="s">
        <v>8</v>
      </c>
      <c r="H35" s="9" t="s">
        <v>9</v>
      </c>
      <c r="I35" s="9" t="s">
        <v>10</v>
      </c>
      <c r="J35" s="9" t="s">
        <v>11</v>
      </c>
      <c r="K35" s="9" t="s">
        <v>12</v>
      </c>
      <c r="L35" s="9" t="s">
        <v>13</v>
      </c>
      <c r="M35" s="9" t="s">
        <v>14</v>
      </c>
      <c r="N35" s="9" t="s">
        <v>15</v>
      </c>
      <c r="O35" s="9" t="s">
        <v>16</v>
      </c>
    </row>
    <row r="36" ht="15.75" customHeight="1">
      <c r="A36" s="1"/>
      <c r="B36" s="36" t="s">
        <v>41</v>
      </c>
      <c r="C36" s="11">
        <v>0.0</v>
      </c>
      <c r="D36" s="11">
        <v>0.0</v>
      </c>
      <c r="E36" s="11">
        <v>0.0</v>
      </c>
      <c r="F36" s="37">
        <f>300+559.59+650+100+850+800+200+500</f>
        <v>3959.59</v>
      </c>
      <c r="G36" s="37">
        <f>200+500</f>
        <v>700</v>
      </c>
      <c r="H36" s="11">
        <v>0.0</v>
      </c>
      <c r="I36" s="11">
        <v>0.0</v>
      </c>
      <c r="J36" s="11">
        <v>0.0</v>
      </c>
      <c r="K36" s="11">
        <v>0.0</v>
      </c>
      <c r="L36" s="11">
        <v>0.0</v>
      </c>
      <c r="M36" s="11">
        <v>0.0</v>
      </c>
      <c r="N36" s="11">
        <v>0.0</v>
      </c>
      <c r="O36" s="12">
        <f t="shared" ref="O36:O40" si="6">SUM(C36:N36)</f>
        <v>4659.59</v>
      </c>
    </row>
    <row r="37" ht="15.75" customHeight="1">
      <c r="A37" s="1"/>
      <c r="B37" s="23" t="s">
        <v>42</v>
      </c>
      <c r="C37" s="14">
        <v>0.0</v>
      </c>
      <c r="D37" s="14">
        <v>0.0</v>
      </c>
      <c r="E37" s="14">
        <v>0.0</v>
      </c>
      <c r="F37" s="38">
        <v>500.0</v>
      </c>
      <c r="G37" s="38">
        <v>0.0</v>
      </c>
      <c r="H37" s="14">
        <v>0.0</v>
      </c>
      <c r="I37" s="14">
        <v>0.0</v>
      </c>
      <c r="J37" s="14">
        <v>0.0</v>
      </c>
      <c r="K37" s="14">
        <v>0.0</v>
      </c>
      <c r="L37" s="14">
        <v>0.0</v>
      </c>
      <c r="M37" s="14">
        <v>0.0</v>
      </c>
      <c r="N37" s="14">
        <v>0.0</v>
      </c>
      <c r="O37" s="12">
        <f t="shared" si="6"/>
        <v>500</v>
      </c>
    </row>
    <row r="38" ht="15.75" customHeight="1">
      <c r="A38" s="1"/>
      <c r="B38" s="23" t="s">
        <v>43</v>
      </c>
      <c r="C38" s="11">
        <v>0.0</v>
      </c>
      <c r="D38" s="11">
        <v>0.0</v>
      </c>
      <c r="E38" s="11">
        <v>0.0</v>
      </c>
      <c r="F38" s="37">
        <v>1422.28</v>
      </c>
      <c r="G38" s="37">
        <v>1472.09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11">
        <v>0.0</v>
      </c>
      <c r="O38" s="12">
        <f t="shared" si="6"/>
        <v>2894.37</v>
      </c>
    </row>
    <row r="39" ht="15.75" customHeight="1">
      <c r="A39" s="1"/>
      <c r="B39" s="23" t="s">
        <v>44</v>
      </c>
      <c r="C39" s="14">
        <v>0.0</v>
      </c>
      <c r="D39" s="14">
        <v>0.0</v>
      </c>
      <c r="E39" s="14">
        <v>0.0</v>
      </c>
      <c r="F39" s="38">
        <v>76.33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2">
        <f t="shared" si="6"/>
        <v>76.33</v>
      </c>
    </row>
    <row r="40" ht="15.75" customHeight="1">
      <c r="A40" s="1"/>
      <c r="B40" s="39" t="s">
        <v>45</v>
      </c>
      <c r="C40" s="40">
        <v>0.0</v>
      </c>
      <c r="D40" s="40">
        <v>0.0</v>
      </c>
      <c r="E40" s="40">
        <v>0.0</v>
      </c>
      <c r="F40" s="40">
        <v>76.33</v>
      </c>
      <c r="G40" s="41">
        <v>300.0</v>
      </c>
      <c r="H40" s="40">
        <v>0.0</v>
      </c>
      <c r="I40" s="40">
        <v>0.0</v>
      </c>
      <c r="J40" s="40">
        <v>0.0</v>
      </c>
      <c r="K40" s="40">
        <v>0.0</v>
      </c>
      <c r="L40" s="40">
        <v>0.0</v>
      </c>
      <c r="M40" s="40">
        <v>0.0</v>
      </c>
      <c r="N40" s="40">
        <v>0.0</v>
      </c>
      <c r="O40" s="42">
        <f t="shared" si="6"/>
        <v>376.33</v>
      </c>
    </row>
    <row r="41" ht="15.75" customHeight="1">
      <c r="A41" s="1"/>
      <c r="B41" s="43" t="s">
        <v>46</v>
      </c>
      <c r="C41" s="16">
        <f t="shared" ref="C41:E41" si="7">SUM(C36:C39)</f>
        <v>0</v>
      </c>
      <c r="D41" s="16">
        <f t="shared" si="7"/>
        <v>0</v>
      </c>
      <c r="E41" s="16">
        <f t="shared" si="7"/>
        <v>0</v>
      </c>
      <c r="F41" s="16">
        <f>SUM(F36:F40)</f>
        <v>6034.53</v>
      </c>
      <c r="G41" s="16">
        <f t="shared" ref="G41:O41" si="8">SUM(G36:G39)</f>
        <v>2172.09</v>
      </c>
      <c r="H41" s="16">
        <f t="shared" si="8"/>
        <v>0</v>
      </c>
      <c r="I41" s="16">
        <f t="shared" si="8"/>
        <v>0</v>
      </c>
      <c r="J41" s="16">
        <f t="shared" si="8"/>
        <v>0</v>
      </c>
      <c r="K41" s="16">
        <f t="shared" si="8"/>
        <v>0</v>
      </c>
      <c r="L41" s="16">
        <f t="shared" si="8"/>
        <v>0</v>
      </c>
      <c r="M41" s="16">
        <f t="shared" si="8"/>
        <v>0</v>
      </c>
      <c r="N41" s="16">
        <f t="shared" si="8"/>
        <v>0</v>
      </c>
      <c r="O41" s="17">
        <f t="shared" si="8"/>
        <v>8130.29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</sheetData>
  <mergeCells count="7">
    <mergeCell ref="B1:R1"/>
    <mergeCell ref="B2:R2"/>
    <mergeCell ref="B4:Q4"/>
    <mergeCell ref="B12:Q12"/>
    <mergeCell ref="B25:Q25"/>
    <mergeCell ref="B29:I29"/>
    <mergeCell ref="B34:Q34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14.0"/>
    <col customWidth="1" min="4" max="4" width="24.0"/>
    <col customWidth="1" min="5" max="5" width="16.0"/>
    <col customWidth="1" min="6" max="6" width="14.0"/>
    <col customWidth="1" min="7" max="8" width="24.0"/>
    <col customWidth="1" min="9" max="25" width="8.71"/>
  </cols>
  <sheetData>
    <row r="1" ht="31.5" customHeight="1">
      <c r="A1" s="1"/>
      <c r="B1" s="44" t="s">
        <v>47</v>
      </c>
      <c r="C1" s="3"/>
      <c r="D1" s="3"/>
      <c r="E1" s="3"/>
      <c r="F1" s="3"/>
      <c r="G1" s="3"/>
      <c r="H1" s="4"/>
    </row>
    <row r="2" ht="18.0" customHeight="1">
      <c r="A2" s="1"/>
      <c r="B2" s="45" t="s">
        <v>48</v>
      </c>
      <c r="C2" s="6"/>
      <c r="D2" s="6"/>
      <c r="E2" s="6"/>
      <c r="F2" s="6"/>
      <c r="G2" s="6"/>
      <c r="H2" s="7"/>
    </row>
    <row r="3" ht="7.5" customHeight="1">
      <c r="A3" s="1"/>
      <c r="B3" s="1"/>
      <c r="C3" s="1"/>
      <c r="D3" s="1"/>
      <c r="E3" s="1"/>
      <c r="F3" s="1"/>
      <c r="G3" s="1"/>
      <c r="H3" s="1"/>
    </row>
    <row r="4" ht="21.75" customHeight="1">
      <c r="A4" s="1"/>
      <c r="B4" s="9" t="s">
        <v>49</v>
      </c>
      <c r="C4" s="9" t="s">
        <v>50</v>
      </c>
      <c r="D4" s="9" t="s">
        <v>51</v>
      </c>
      <c r="E4" s="9" t="s">
        <v>52</v>
      </c>
      <c r="F4" s="46" t="s">
        <v>3</v>
      </c>
      <c r="G4" s="46" t="s">
        <v>53</v>
      </c>
      <c r="H4" s="9" t="s">
        <v>54</v>
      </c>
    </row>
    <row r="5" ht="18.0" customHeight="1">
      <c r="A5" s="1"/>
      <c r="B5" s="47" t="s">
        <v>55</v>
      </c>
      <c r="C5" s="48">
        <v>46113.0</v>
      </c>
      <c r="D5" s="47" t="s">
        <v>56</v>
      </c>
      <c r="E5" s="49">
        <v>100.0</v>
      </c>
      <c r="F5" s="50" t="s">
        <v>57</v>
      </c>
      <c r="G5" s="47" t="s">
        <v>58</v>
      </c>
      <c r="H5" s="47" t="s">
        <v>59</v>
      </c>
    </row>
    <row r="6" ht="18.0" customHeight="1">
      <c r="A6" s="1"/>
      <c r="B6" s="47" t="s">
        <v>55</v>
      </c>
      <c r="C6" s="48">
        <v>46113.0</v>
      </c>
      <c r="D6" s="47" t="s">
        <v>60</v>
      </c>
      <c r="E6" s="49">
        <v>100.0</v>
      </c>
      <c r="F6" s="50" t="s">
        <v>57</v>
      </c>
      <c r="G6" s="47" t="s">
        <v>58</v>
      </c>
      <c r="H6" s="51"/>
    </row>
    <row r="7" ht="18.0" customHeight="1">
      <c r="A7" s="1"/>
      <c r="B7" s="47" t="s">
        <v>55</v>
      </c>
      <c r="C7" s="48">
        <v>46114.0</v>
      </c>
      <c r="D7" s="47" t="s">
        <v>61</v>
      </c>
      <c r="E7" s="49">
        <v>100.0</v>
      </c>
      <c r="F7" s="50" t="s">
        <v>57</v>
      </c>
      <c r="G7" s="47" t="s">
        <v>58</v>
      </c>
      <c r="H7" s="51"/>
    </row>
    <row r="8" ht="18.0" customHeight="1">
      <c r="A8" s="1"/>
      <c r="B8" s="47" t="s">
        <v>55</v>
      </c>
      <c r="C8" s="48">
        <v>46114.0</v>
      </c>
      <c r="D8" s="47" t="s">
        <v>62</v>
      </c>
      <c r="E8" s="49">
        <v>300.0</v>
      </c>
      <c r="F8" s="50" t="s">
        <v>63</v>
      </c>
      <c r="G8" s="47" t="s">
        <v>64</v>
      </c>
      <c r="H8" s="51"/>
    </row>
    <row r="9" ht="18.0" customHeight="1">
      <c r="A9" s="1"/>
      <c r="B9" s="47" t="s">
        <v>55</v>
      </c>
      <c r="C9" s="48">
        <v>46115.0</v>
      </c>
      <c r="D9" s="47" t="s">
        <v>65</v>
      </c>
      <c r="E9" s="49">
        <v>100.0</v>
      </c>
      <c r="F9" s="50" t="s">
        <v>57</v>
      </c>
      <c r="G9" s="47" t="s">
        <v>58</v>
      </c>
      <c r="H9" s="51"/>
    </row>
    <row r="10" ht="18.0" customHeight="1">
      <c r="A10" s="1"/>
      <c r="B10" s="47" t="s">
        <v>55</v>
      </c>
      <c r="C10" s="48">
        <v>46118.0</v>
      </c>
      <c r="D10" s="47" t="s">
        <v>66</v>
      </c>
      <c r="E10" s="49">
        <v>559.59</v>
      </c>
      <c r="F10" s="50" t="s">
        <v>63</v>
      </c>
      <c r="G10" s="47" t="s">
        <v>64</v>
      </c>
      <c r="H10" s="51"/>
    </row>
    <row r="11" ht="18.0" customHeight="1">
      <c r="A11" s="1"/>
      <c r="B11" s="47" t="s">
        <v>55</v>
      </c>
      <c r="C11" s="48">
        <v>46122.0</v>
      </c>
      <c r="D11" s="47" t="s">
        <v>67</v>
      </c>
      <c r="E11" s="49">
        <v>650.0</v>
      </c>
      <c r="F11" s="50" t="s">
        <v>68</v>
      </c>
      <c r="G11" s="47" t="s">
        <v>64</v>
      </c>
      <c r="H11" s="51"/>
    </row>
    <row r="12" ht="18.0" customHeight="1">
      <c r="A12" s="1"/>
      <c r="B12" s="47" t="s">
        <v>55</v>
      </c>
      <c r="C12" s="48">
        <v>46118.0</v>
      </c>
      <c r="D12" s="47" t="s">
        <v>69</v>
      </c>
      <c r="E12" s="49">
        <v>100.0</v>
      </c>
      <c r="F12" s="50" t="s">
        <v>63</v>
      </c>
      <c r="G12" s="47" t="s">
        <v>64</v>
      </c>
      <c r="H12" s="51"/>
    </row>
    <row r="13" ht="18.0" customHeight="1">
      <c r="A13" s="1"/>
      <c r="B13" s="47" t="s">
        <v>55</v>
      </c>
      <c r="C13" s="48">
        <v>46125.0</v>
      </c>
      <c r="D13" s="47" t="s">
        <v>70</v>
      </c>
      <c r="E13" s="49">
        <v>1500.0</v>
      </c>
      <c r="F13" s="50" t="s">
        <v>57</v>
      </c>
      <c r="G13" s="47" t="s">
        <v>64</v>
      </c>
      <c r="H13" s="51"/>
    </row>
    <row r="14" ht="18.0" customHeight="1">
      <c r="A14" s="1"/>
      <c r="B14" s="47" t="s">
        <v>55</v>
      </c>
      <c r="C14" s="48">
        <v>46114.0</v>
      </c>
      <c r="D14" s="47" t="s">
        <v>71</v>
      </c>
      <c r="E14" s="49">
        <v>100.0</v>
      </c>
      <c r="F14" s="50" t="s">
        <v>57</v>
      </c>
      <c r="G14" s="47" t="s">
        <v>58</v>
      </c>
      <c r="H14" s="51"/>
    </row>
    <row r="15" ht="18.0" customHeight="1">
      <c r="A15" s="1"/>
      <c r="B15" s="47" t="s">
        <v>55</v>
      </c>
      <c r="C15" s="48">
        <v>46134.0</v>
      </c>
      <c r="D15" s="47" t="s">
        <v>72</v>
      </c>
      <c r="E15" s="49">
        <v>850.0</v>
      </c>
      <c r="F15" s="50" t="s">
        <v>63</v>
      </c>
      <c r="G15" s="47" t="s">
        <v>64</v>
      </c>
      <c r="H15" s="51"/>
    </row>
    <row r="16" ht="18.0" customHeight="1">
      <c r="A16" s="1"/>
      <c r="B16" s="47" t="s">
        <v>55</v>
      </c>
      <c r="C16" s="48">
        <v>46137.0</v>
      </c>
      <c r="D16" s="47" t="s">
        <v>73</v>
      </c>
      <c r="E16" s="49">
        <v>403.0</v>
      </c>
      <c r="F16" s="50" t="s">
        <v>45</v>
      </c>
      <c r="G16" s="47"/>
      <c r="H16" s="51"/>
    </row>
    <row r="17" ht="18.0" customHeight="1">
      <c r="A17" s="1"/>
      <c r="B17" s="47" t="s">
        <v>55</v>
      </c>
      <c r="C17" s="48">
        <v>46140.0</v>
      </c>
      <c r="D17" s="47" t="s">
        <v>74</v>
      </c>
      <c r="E17" s="49">
        <v>800.0</v>
      </c>
      <c r="F17" s="50" t="s">
        <v>63</v>
      </c>
      <c r="G17" s="47" t="s">
        <v>75</v>
      </c>
      <c r="H17" s="51"/>
    </row>
    <row r="18" ht="18.0" customHeight="1">
      <c r="A18" s="1"/>
      <c r="B18" s="47" t="s">
        <v>55</v>
      </c>
      <c r="C18" s="48">
        <v>46142.0</v>
      </c>
      <c r="D18" s="47" t="s">
        <v>76</v>
      </c>
      <c r="E18" s="49">
        <v>78.0</v>
      </c>
      <c r="F18" s="50" t="s">
        <v>45</v>
      </c>
      <c r="G18" s="47"/>
      <c r="H18" s="51"/>
    </row>
    <row r="19" ht="18.0" customHeight="1">
      <c r="A19" s="1"/>
      <c r="B19" s="52" t="s">
        <v>77</v>
      </c>
      <c r="C19" s="48">
        <v>46144.0</v>
      </c>
      <c r="D19" s="52" t="s">
        <v>78</v>
      </c>
      <c r="E19" s="53">
        <v>200.0</v>
      </c>
      <c r="F19" s="54" t="s">
        <v>63</v>
      </c>
      <c r="G19" s="47" t="s">
        <v>64</v>
      </c>
      <c r="H19" s="55"/>
    </row>
    <row r="20" ht="18.0" customHeight="1">
      <c r="A20" s="1"/>
      <c r="B20" s="52" t="s">
        <v>77</v>
      </c>
      <c r="C20" s="48">
        <v>46148.0</v>
      </c>
      <c r="D20" s="52" t="s">
        <v>79</v>
      </c>
      <c r="E20" s="53">
        <v>500.0</v>
      </c>
      <c r="F20" s="54" t="s">
        <v>63</v>
      </c>
      <c r="G20" s="47" t="s">
        <v>58</v>
      </c>
      <c r="H20" s="55"/>
    </row>
    <row r="21" ht="18.0" customHeight="1">
      <c r="A21" s="1"/>
      <c r="B21" s="52" t="s">
        <v>77</v>
      </c>
      <c r="C21" s="48"/>
      <c r="D21" s="52"/>
      <c r="E21" s="53"/>
      <c r="F21" s="56"/>
      <c r="G21" s="47"/>
      <c r="H21" s="55"/>
    </row>
    <row r="22" ht="18.0" customHeight="1">
      <c r="A22" s="1"/>
      <c r="B22" s="52" t="s">
        <v>77</v>
      </c>
      <c r="C22" s="48"/>
      <c r="D22" s="52"/>
      <c r="E22" s="53"/>
      <c r="F22" s="56"/>
      <c r="G22" s="47"/>
      <c r="H22" s="55"/>
    </row>
    <row r="23" ht="18.0" customHeight="1">
      <c r="A23" s="1"/>
      <c r="B23" s="52" t="s">
        <v>77</v>
      </c>
      <c r="C23" s="48"/>
      <c r="D23" s="52"/>
      <c r="E23" s="53"/>
      <c r="F23" s="56"/>
      <c r="G23" s="47"/>
      <c r="H23" s="55"/>
    </row>
    <row r="24" ht="18.0" customHeight="1">
      <c r="A24" s="1"/>
      <c r="B24" s="52" t="s">
        <v>77</v>
      </c>
      <c r="C24" s="48"/>
      <c r="D24" s="52"/>
      <c r="E24" s="53"/>
      <c r="F24" s="56"/>
      <c r="G24" s="47"/>
      <c r="H24" s="55"/>
    </row>
    <row r="25" ht="18.0" customHeight="1">
      <c r="A25" s="1"/>
      <c r="B25" s="52" t="s">
        <v>77</v>
      </c>
      <c r="C25" s="48"/>
      <c r="D25" s="55"/>
      <c r="E25" s="53"/>
      <c r="F25" s="56"/>
      <c r="G25" s="47"/>
      <c r="H25" s="55"/>
    </row>
    <row r="26" ht="18.0" customHeight="1">
      <c r="A26" s="1"/>
      <c r="B26" s="52" t="s">
        <v>77</v>
      </c>
      <c r="C26" s="48"/>
      <c r="D26" s="52"/>
      <c r="E26" s="53"/>
      <c r="F26" s="56"/>
      <c r="G26" s="47"/>
      <c r="H26" s="55"/>
    </row>
    <row r="27" ht="18.0" customHeight="1">
      <c r="A27" s="1"/>
      <c r="B27" s="52" t="s">
        <v>77</v>
      </c>
      <c r="C27" s="48"/>
      <c r="D27" s="55"/>
      <c r="E27" s="53"/>
      <c r="F27" s="56"/>
      <c r="G27" s="47"/>
      <c r="H27" s="55"/>
    </row>
    <row r="28" ht="18.0" customHeight="1">
      <c r="A28" s="1"/>
      <c r="B28" s="52" t="s">
        <v>77</v>
      </c>
      <c r="C28" s="48"/>
      <c r="D28" s="55"/>
      <c r="E28" s="53"/>
      <c r="F28" s="56"/>
      <c r="G28" s="47"/>
      <c r="H28" s="55"/>
    </row>
    <row r="29" ht="18.0" customHeight="1">
      <c r="A29" s="1"/>
      <c r="B29" s="52" t="s">
        <v>77</v>
      </c>
      <c r="C29" s="48"/>
      <c r="D29" s="52"/>
      <c r="E29" s="53"/>
      <c r="F29" s="56"/>
      <c r="G29" s="47"/>
      <c r="H29" s="55"/>
    </row>
    <row r="30" ht="18.0" customHeight="1">
      <c r="A30" s="1"/>
      <c r="B30" s="52" t="s">
        <v>77</v>
      </c>
      <c r="C30" s="48"/>
      <c r="D30" s="52"/>
      <c r="E30" s="53"/>
      <c r="F30" s="56"/>
      <c r="G30" s="47"/>
      <c r="H30" s="55"/>
    </row>
    <row r="31" ht="18.0" customHeight="1">
      <c r="A31" s="1"/>
      <c r="B31" s="57" t="s">
        <v>80</v>
      </c>
      <c r="C31" s="48"/>
      <c r="D31" s="58"/>
      <c r="E31" s="59"/>
      <c r="F31" s="60"/>
      <c r="G31" s="47"/>
      <c r="H31" s="58"/>
    </row>
    <row r="32" ht="18.0" customHeight="1">
      <c r="A32" s="1"/>
      <c r="B32" s="57" t="s">
        <v>80</v>
      </c>
      <c r="C32" s="48"/>
      <c r="D32" s="57"/>
      <c r="E32" s="59"/>
      <c r="F32" s="60"/>
      <c r="G32" s="47"/>
      <c r="H32" s="58"/>
    </row>
    <row r="33" ht="18.0" customHeight="1">
      <c r="A33" s="1"/>
      <c r="B33" s="57" t="s">
        <v>80</v>
      </c>
      <c r="C33" s="48"/>
      <c r="D33" s="57"/>
      <c r="E33" s="59"/>
      <c r="F33" s="60"/>
      <c r="G33" s="47"/>
      <c r="H33" s="58"/>
    </row>
    <row r="34" ht="18.0" customHeight="1">
      <c r="A34" s="1"/>
      <c r="B34" s="57" t="s">
        <v>80</v>
      </c>
      <c r="C34" s="48"/>
      <c r="D34" s="57"/>
      <c r="E34" s="59"/>
      <c r="F34" s="60"/>
      <c r="G34" s="47"/>
      <c r="H34" s="58"/>
    </row>
    <row r="35" ht="18.0" customHeight="1">
      <c r="A35" s="1"/>
      <c r="B35" s="57" t="s">
        <v>80</v>
      </c>
      <c r="C35" s="48"/>
      <c r="D35" s="57"/>
      <c r="E35" s="59"/>
      <c r="F35" s="60"/>
      <c r="G35" s="47"/>
      <c r="H35" s="58"/>
    </row>
    <row r="36" ht="18.0" customHeight="1">
      <c r="A36" s="1"/>
      <c r="B36" s="57" t="s">
        <v>80</v>
      </c>
      <c r="C36" s="48"/>
      <c r="D36" s="57"/>
      <c r="E36" s="59"/>
      <c r="F36" s="60"/>
      <c r="G36" s="47"/>
      <c r="H36" s="58"/>
    </row>
    <row r="37" ht="18.0" customHeight="1">
      <c r="A37" s="1"/>
      <c r="B37" s="57" t="s">
        <v>80</v>
      </c>
      <c r="C37" s="48"/>
      <c r="D37" s="58"/>
      <c r="E37" s="59"/>
      <c r="F37" s="60"/>
      <c r="G37" s="47"/>
      <c r="H37" s="58"/>
    </row>
    <row r="38" ht="18.0" customHeight="1">
      <c r="A38" s="1"/>
      <c r="B38" s="57" t="s">
        <v>80</v>
      </c>
      <c r="C38" s="48"/>
      <c r="D38" s="57"/>
      <c r="E38" s="59"/>
      <c r="F38" s="60"/>
      <c r="G38" s="47"/>
      <c r="H38" s="58"/>
    </row>
    <row r="39" ht="18.0" customHeight="1">
      <c r="A39" s="1"/>
      <c r="B39" s="57" t="s">
        <v>80</v>
      </c>
      <c r="C39" s="48"/>
      <c r="D39" s="58"/>
      <c r="E39" s="59"/>
      <c r="F39" s="60"/>
      <c r="G39" s="47"/>
      <c r="H39" s="58"/>
    </row>
    <row r="40" ht="18.0" customHeight="1">
      <c r="A40" s="1"/>
      <c r="B40" s="57" t="s">
        <v>80</v>
      </c>
      <c r="C40" s="48"/>
      <c r="D40" s="58"/>
      <c r="E40" s="59"/>
      <c r="F40" s="60"/>
      <c r="G40" s="47"/>
      <c r="H40" s="58"/>
    </row>
    <row r="41" ht="18.0" customHeight="1">
      <c r="A41" s="1"/>
      <c r="B41" s="57" t="s">
        <v>80</v>
      </c>
      <c r="C41" s="48"/>
      <c r="D41" s="57"/>
      <c r="E41" s="59"/>
      <c r="F41" s="60"/>
      <c r="G41" s="47"/>
      <c r="H41" s="58"/>
    </row>
    <row r="42" ht="18.0" customHeight="1">
      <c r="A42" s="1"/>
      <c r="B42" s="57" t="s">
        <v>80</v>
      </c>
      <c r="C42" s="48"/>
      <c r="D42" s="57"/>
      <c r="E42" s="59"/>
      <c r="F42" s="60"/>
      <c r="G42" s="47"/>
      <c r="H42" s="58"/>
    </row>
    <row r="43" ht="18.0" customHeight="1">
      <c r="A43" s="1"/>
      <c r="B43" s="61"/>
      <c r="C43" s="48"/>
      <c r="D43" s="62"/>
      <c r="E43" s="63"/>
      <c r="F43" s="64"/>
      <c r="G43" s="47"/>
      <c r="H43" s="62"/>
    </row>
    <row r="44" ht="18.0" customHeight="1">
      <c r="A44" s="1"/>
      <c r="B44" s="61"/>
      <c r="C44" s="48"/>
      <c r="D44" s="61"/>
      <c r="E44" s="63"/>
      <c r="F44" s="64"/>
      <c r="G44" s="47"/>
      <c r="H44" s="62"/>
    </row>
    <row r="45" ht="18.0" customHeight="1">
      <c r="A45" s="1"/>
      <c r="B45" s="61"/>
      <c r="C45" s="48"/>
      <c r="D45" s="62"/>
      <c r="E45" s="63"/>
      <c r="F45" s="64"/>
      <c r="G45" s="47"/>
      <c r="H45" s="62"/>
    </row>
    <row r="46" ht="18.0" customHeight="1">
      <c r="A46" s="1"/>
      <c r="B46" s="61"/>
      <c r="C46" s="48"/>
      <c r="D46" s="61"/>
      <c r="E46" s="63"/>
      <c r="F46" s="64"/>
      <c r="G46" s="47"/>
      <c r="H46" s="62"/>
    </row>
    <row r="47" ht="18.0" customHeight="1">
      <c r="A47" s="1"/>
      <c r="B47" s="61"/>
      <c r="C47" s="48"/>
      <c r="D47" s="61"/>
      <c r="E47" s="63"/>
      <c r="F47" s="64"/>
      <c r="G47" s="47"/>
      <c r="H47" s="62"/>
    </row>
    <row r="48" ht="18.0" customHeight="1">
      <c r="A48" s="1"/>
      <c r="B48" s="61"/>
      <c r="C48" s="48"/>
      <c r="D48" s="61"/>
      <c r="E48" s="63"/>
      <c r="F48" s="64"/>
      <c r="G48" s="47"/>
      <c r="H48" s="62"/>
    </row>
    <row r="49" ht="18.0" customHeight="1">
      <c r="A49" s="1"/>
      <c r="B49" s="61"/>
      <c r="C49" s="48"/>
      <c r="D49" s="61"/>
      <c r="E49" s="63"/>
      <c r="F49" s="64"/>
      <c r="G49" s="47"/>
      <c r="H49" s="62"/>
    </row>
    <row r="50" ht="18.0" customHeight="1">
      <c r="A50" s="1"/>
      <c r="B50" s="61"/>
      <c r="C50" s="48"/>
      <c r="D50" s="61"/>
      <c r="E50" s="63"/>
      <c r="F50" s="64"/>
      <c r="G50" s="47"/>
      <c r="H50" s="62"/>
    </row>
    <row r="51" ht="18.0" customHeight="1">
      <c r="A51" s="1"/>
      <c r="B51" s="61"/>
      <c r="C51" s="48"/>
      <c r="D51" s="61"/>
      <c r="E51" s="65"/>
      <c r="F51" s="64"/>
      <c r="G51" s="47"/>
      <c r="H51" s="62"/>
    </row>
    <row r="52" ht="18.0" customHeight="1">
      <c r="A52" s="1"/>
      <c r="B52" s="61"/>
      <c r="C52" s="48"/>
      <c r="D52" s="61"/>
      <c r="E52" s="63"/>
      <c r="F52" s="64"/>
      <c r="G52" s="47"/>
      <c r="H52" s="62"/>
    </row>
    <row r="53" ht="18.0" customHeight="1">
      <c r="A53" s="1"/>
      <c r="B53" s="61"/>
      <c r="C53" s="48"/>
      <c r="D53" s="62"/>
      <c r="E53" s="65"/>
      <c r="F53" s="64"/>
      <c r="G53" s="47"/>
      <c r="H53" s="62"/>
    </row>
    <row r="54" ht="18.0" customHeight="1">
      <c r="A54" s="1"/>
      <c r="B54" s="61"/>
      <c r="C54" s="48"/>
      <c r="D54" s="62"/>
      <c r="E54" s="65"/>
      <c r="F54" s="64"/>
      <c r="G54" s="47"/>
      <c r="H54" s="62"/>
    </row>
    <row r="55" ht="18.0" customHeight="1">
      <c r="A55" s="1"/>
      <c r="B55" s="61"/>
      <c r="C55" s="48"/>
      <c r="D55" s="62"/>
      <c r="E55" s="65"/>
      <c r="F55" s="64"/>
      <c r="G55" s="47"/>
      <c r="H55" s="62"/>
    </row>
    <row r="56" ht="18.0" customHeight="1">
      <c r="A56" s="1"/>
      <c r="B56" s="66"/>
      <c r="C56" s="48"/>
      <c r="D56" s="66"/>
      <c r="E56" s="67"/>
      <c r="F56" s="68"/>
      <c r="G56" s="47"/>
      <c r="H56" s="66"/>
    </row>
    <row r="57" ht="18.0" customHeight="1">
      <c r="A57" s="1"/>
      <c r="B57" s="69"/>
      <c r="C57" s="48"/>
      <c r="D57" s="69"/>
      <c r="E57" s="70"/>
      <c r="F57" s="68"/>
      <c r="G57" s="47"/>
      <c r="H57" s="69"/>
    </row>
    <row r="58" ht="18.0" customHeight="1">
      <c r="A58" s="1"/>
      <c r="B58" s="69"/>
      <c r="C58" s="48"/>
      <c r="D58" s="69"/>
      <c r="E58" s="70"/>
      <c r="F58" s="68"/>
      <c r="G58" s="47"/>
      <c r="H58" s="69"/>
    </row>
    <row r="59" ht="18.0" customHeight="1">
      <c r="A59" s="1"/>
      <c r="B59" s="71"/>
      <c r="C59" s="48"/>
      <c r="D59" s="71"/>
      <c r="E59" s="72"/>
      <c r="F59" s="68"/>
      <c r="G59" s="47"/>
      <c r="H59" s="71"/>
    </row>
    <row r="60" ht="18.0" customHeight="1">
      <c r="A60" s="1"/>
      <c r="B60" s="10"/>
      <c r="C60" s="48"/>
      <c r="D60" s="10"/>
      <c r="E60" s="11"/>
      <c r="F60" s="68"/>
      <c r="G60" s="47"/>
      <c r="H60" s="10"/>
    </row>
    <row r="61" ht="18.0" customHeight="1">
      <c r="A61" s="1"/>
      <c r="B61" s="10"/>
      <c r="C61" s="48"/>
      <c r="D61" s="10"/>
      <c r="E61" s="11"/>
      <c r="F61" s="68"/>
      <c r="G61" s="47"/>
      <c r="H61" s="10"/>
    </row>
    <row r="62" ht="18.0" customHeight="1">
      <c r="A62" s="1"/>
      <c r="B62" s="10"/>
      <c r="C62" s="48"/>
      <c r="D62" s="10"/>
      <c r="E62" s="11"/>
      <c r="F62" s="68"/>
      <c r="G62" s="47"/>
      <c r="H62" s="10"/>
    </row>
    <row r="63" ht="18.0" customHeight="1">
      <c r="A63" s="1"/>
      <c r="B63" s="10"/>
      <c r="C63" s="48"/>
      <c r="D63" s="10"/>
      <c r="E63" s="11"/>
      <c r="F63" s="68"/>
      <c r="G63" s="47"/>
      <c r="H63" s="10"/>
    </row>
    <row r="64" ht="18.0" customHeight="1">
      <c r="A64" s="1"/>
      <c r="B64" s="10"/>
      <c r="C64" s="48"/>
      <c r="D64" s="10"/>
      <c r="E64" s="11"/>
      <c r="F64" s="68"/>
      <c r="G64" s="47"/>
      <c r="H64" s="10"/>
    </row>
    <row r="65" ht="18.0" customHeight="1">
      <c r="A65" s="1"/>
      <c r="B65" s="66"/>
      <c r="C65" s="48"/>
      <c r="D65" s="66"/>
      <c r="E65" s="67"/>
      <c r="F65" s="68"/>
      <c r="G65" s="47"/>
      <c r="H65" s="66"/>
    </row>
    <row r="66" ht="18.0" customHeight="1">
      <c r="A66" s="1"/>
      <c r="B66" s="66"/>
      <c r="C66" s="48"/>
      <c r="D66" s="66"/>
      <c r="E66" s="67"/>
      <c r="F66" s="68"/>
      <c r="G66" s="47"/>
      <c r="H66" s="66"/>
    </row>
    <row r="67" ht="18.0" customHeight="1">
      <c r="A67" s="1"/>
      <c r="B67" s="69"/>
      <c r="C67" s="48"/>
      <c r="D67" s="69"/>
      <c r="E67" s="70"/>
      <c r="F67" s="68"/>
      <c r="G67" s="47"/>
      <c r="H67" s="69"/>
    </row>
    <row r="68" ht="18.0" customHeight="1">
      <c r="A68" s="1"/>
      <c r="B68" s="69"/>
      <c r="C68" s="48"/>
      <c r="D68" s="69"/>
      <c r="E68" s="70"/>
      <c r="F68" s="68"/>
      <c r="G68" s="47"/>
      <c r="H68" s="69"/>
    </row>
    <row r="69" ht="18.0" customHeight="1">
      <c r="A69" s="1"/>
      <c r="B69" s="71"/>
      <c r="C69" s="48"/>
      <c r="D69" s="71"/>
      <c r="E69" s="72"/>
      <c r="F69" s="68"/>
      <c r="G69" s="47"/>
      <c r="H69" s="71"/>
    </row>
    <row r="70" ht="18.0" customHeight="1">
      <c r="A70" s="1"/>
      <c r="B70" s="10"/>
      <c r="C70" s="48"/>
      <c r="D70" s="10"/>
      <c r="E70" s="11"/>
      <c r="F70" s="68"/>
      <c r="G70" s="47"/>
      <c r="H70" s="10"/>
    </row>
    <row r="71" ht="18.0" customHeight="1">
      <c r="A71" s="1"/>
      <c r="B71" s="10"/>
      <c r="C71" s="48"/>
      <c r="D71" s="10"/>
      <c r="E71" s="11"/>
      <c r="F71" s="68"/>
      <c r="G71" s="47"/>
      <c r="H71" s="10"/>
    </row>
    <row r="72" ht="18.0" customHeight="1">
      <c r="A72" s="1"/>
      <c r="B72" s="10"/>
      <c r="C72" s="48"/>
      <c r="D72" s="10"/>
      <c r="E72" s="11"/>
      <c r="F72" s="68"/>
      <c r="G72" s="47"/>
      <c r="H72" s="10"/>
    </row>
    <row r="73" ht="18.0" customHeight="1">
      <c r="A73" s="1"/>
      <c r="B73" s="10"/>
      <c r="C73" s="48"/>
      <c r="D73" s="10"/>
      <c r="E73" s="11"/>
      <c r="F73" s="68"/>
      <c r="G73" s="47"/>
      <c r="H73" s="10"/>
    </row>
    <row r="74" ht="18.0" customHeight="1">
      <c r="A74" s="1"/>
      <c r="B74" s="10"/>
      <c r="C74" s="48"/>
      <c r="D74" s="10"/>
      <c r="E74" s="11"/>
      <c r="F74" s="68"/>
      <c r="G74" s="47"/>
      <c r="H74" s="10"/>
    </row>
    <row r="75" ht="18.0" customHeight="1">
      <c r="A75" s="1"/>
      <c r="B75" s="66"/>
      <c r="C75" s="48"/>
      <c r="D75" s="66"/>
      <c r="E75" s="67"/>
      <c r="F75" s="68"/>
      <c r="G75" s="47"/>
      <c r="H75" s="66"/>
    </row>
    <row r="76" ht="18.0" customHeight="1">
      <c r="A76" s="1"/>
      <c r="B76" s="66"/>
      <c r="C76" s="48"/>
      <c r="D76" s="66"/>
      <c r="E76" s="67"/>
      <c r="F76" s="68"/>
      <c r="G76" s="47"/>
      <c r="H76" s="66"/>
    </row>
    <row r="77" ht="18.0" customHeight="1">
      <c r="A77" s="1"/>
      <c r="B77" s="69"/>
      <c r="C77" s="48"/>
      <c r="D77" s="69"/>
      <c r="E77" s="70"/>
      <c r="F77" s="68"/>
      <c r="G77" s="47"/>
      <c r="H77" s="69"/>
    </row>
    <row r="78" ht="18.0" customHeight="1">
      <c r="A78" s="1"/>
      <c r="B78" s="69"/>
      <c r="C78" s="48"/>
      <c r="D78" s="69"/>
      <c r="E78" s="70"/>
      <c r="F78" s="68"/>
      <c r="G78" s="47"/>
      <c r="H78" s="69"/>
    </row>
    <row r="79" ht="18.0" customHeight="1">
      <c r="A79" s="1"/>
      <c r="B79" s="71"/>
      <c r="C79" s="48"/>
      <c r="D79" s="71"/>
      <c r="E79" s="72"/>
      <c r="F79" s="68"/>
      <c r="G79" s="47"/>
      <c r="H79" s="71"/>
    </row>
    <row r="80" ht="18.0" customHeight="1">
      <c r="A80" s="1"/>
      <c r="B80" s="10"/>
      <c r="C80" s="48"/>
      <c r="D80" s="10"/>
      <c r="E80" s="11"/>
      <c r="F80" s="68"/>
      <c r="G80" s="47"/>
      <c r="H80" s="10"/>
    </row>
    <row r="81" ht="18.0" customHeight="1">
      <c r="A81" s="1"/>
      <c r="B81" s="10"/>
      <c r="C81" s="48"/>
      <c r="D81" s="10"/>
      <c r="E81" s="11"/>
      <c r="F81" s="68"/>
      <c r="G81" s="47"/>
      <c r="H81" s="10"/>
    </row>
    <row r="82" ht="18.0" customHeight="1">
      <c r="A82" s="1"/>
      <c r="B82" s="10"/>
      <c r="C82" s="48"/>
      <c r="D82" s="10"/>
      <c r="E82" s="11"/>
      <c r="F82" s="68"/>
      <c r="G82" s="47"/>
      <c r="H82" s="10"/>
    </row>
    <row r="83" ht="18.0" customHeight="1">
      <c r="A83" s="1"/>
      <c r="B83" s="10"/>
      <c r="C83" s="48"/>
      <c r="D83" s="10"/>
      <c r="E83" s="11"/>
      <c r="F83" s="68"/>
      <c r="G83" s="47"/>
      <c r="H83" s="10"/>
    </row>
    <row r="84" ht="18.0" customHeight="1">
      <c r="A84" s="1"/>
      <c r="B84" s="10"/>
      <c r="C84" s="48"/>
      <c r="D84" s="10"/>
      <c r="E84" s="11"/>
      <c r="F84" s="68"/>
      <c r="G84" s="47"/>
      <c r="H84" s="10"/>
    </row>
    <row r="85" ht="18.0" customHeight="1">
      <c r="A85" s="1"/>
      <c r="B85" s="66"/>
      <c r="C85" s="48"/>
      <c r="D85" s="66"/>
      <c r="E85" s="67"/>
      <c r="F85" s="68"/>
      <c r="G85" s="47"/>
      <c r="H85" s="66"/>
    </row>
    <row r="86" ht="18.0" customHeight="1">
      <c r="A86" s="1"/>
      <c r="B86" s="66"/>
      <c r="C86" s="48"/>
      <c r="D86" s="66"/>
      <c r="E86" s="67"/>
      <c r="F86" s="68"/>
      <c r="G86" s="47"/>
      <c r="H86" s="66"/>
    </row>
    <row r="87" ht="18.0" customHeight="1">
      <c r="A87" s="1"/>
      <c r="B87" s="69"/>
      <c r="C87" s="48"/>
      <c r="D87" s="69"/>
      <c r="E87" s="70"/>
      <c r="F87" s="68"/>
      <c r="G87" s="47"/>
      <c r="H87" s="69"/>
    </row>
    <row r="88" ht="18.0" customHeight="1">
      <c r="A88" s="1"/>
      <c r="B88" s="69"/>
      <c r="C88" s="48"/>
      <c r="D88" s="69"/>
      <c r="E88" s="70"/>
      <c r="F88" s="68"/>
      <c r="G88" s="47"/>
      <c r="H88" s="69"/>
    </row>
    <row r="89" ht="18.0" customHeight="1">
      <c r="A89" s="1"/>
      <c r="B89" s="71"/>
      <c r="C89" s="48"/>
      <c r="D89" s="71"/>
      <c r="E89" s="72"/>
      <c r="F89" s="68"/>
      <c r="G89" s="47"/>
      <c r="H89" s="71"/>
    </row>
    <row r="90" ht="18.0" customHeight="1">
      <c r="A90" s="1"/>
      <c r="B90" s="10"/>
      <c r="C90" s="48"/>
      <c r="D90" s="10"/>
      <c r="E90" s="11"/>
      <c r="F90" s="68"/>
      <c r="G90" s="47"/>
      <c r="H90" s="10"/>
    </row>
    <row r="91" ht="18.0" customHeight="1">
      <c r="A91" s="1"/>
      <c r="B91" s="10"/>
      <c r="C91" s="48"/>
      <c r="D91" s="10"/>
      <c r="E91" s="11"/>
      <c r="F91" s="68"/>
      <c r="G91" s="47"/>
      <c r="H91" s="10"/>
    </row>
    <row r="92" ht="18.0" customHeight="1">
      <c r="A92" s="1"/>
      <c r="B92" s="10"/>
      <c r="C92" s="48"/>
      <c r="D92" s="10"/>
      <c r="E92" s="11"/>
      <c r="F92" s="68"/>
      <c r="G92" s="47"/>
      <c r="H92" s="10"/>
    </row>
    <row r="93" ht="18.0" customHeight="1">
      <c r="A93" s="1"/>
      <c r="B93" s="10"/>
      <c r="C93" s="48"/>
      <c r="D93" s="10"/>
      <c r="E93" s="11"/>
      <c r="F93" s="68"/>
      <c r="G93" s="47"/>
      <c r="H93" s="10"/>
    </row>
    <row r="94" ht="18.0" customHeight="1">
      <c r="A94" s="1"/>
      <c r="B94" s="10"/>
      <c r="C94" s="48"/>
      <c r="D94" s="10"/>
      <c r="E94" s="11"/>
      <c r="F94" s="68"/>
      <c r="G94" s="47"/>
      <c r="H94" s="10"/>
    </row>
    <row r="95" ht="18.0" customHeight="1">
      <c r="A95" s="1"/>
      <c r="B95" s="66"/>
      <c r="C95" s="48"/>
      <c r="D95" s="66"/>
      <c r="E95" s="67"/>
      <c r="F95" s="68"/>
      <c r="G95" s="47"/>
      <c r="H95" s="66"/>
    </row>
    <row r="96" ht="18.0" customHeight="1">
      <c r="A96" s="1"/>
      <c r="B96" s="66"/>
      <c r="C96" s="48"/>
      <c r="D96" s="66"/>
      <c r="E96" s="67"/>
      <c r="F96" s="68"/>
      <c r="G96" s="47"/>
      <c r="H96" s="66"/>
    </row>
    <row r="97" ht="18.0" customHeight="1">
      <c r="A97" s="1"/>
      <c r="B97" s="69"/>
      <c r="C97" s="48"/>
      <c r="D97" s="69"/>
      <c r="E97" s="70"/>
      <c r="F97" s="68"/>
      <c r="G97" s="47"/>
      <c r="H97" s="69"/>
    </row>
    <row r="98" ht="18.0" customHeight="1">
      <c r="A98" s="1"/>
      <c r="B98" s="69"/>
      <c r="C98" s="48"/>
      <c r="D98" s="69"/>
      <c r="E98" s="70"/>
      <c r="F98" s="68"/>
      <c r="G98" s="47"/>
      <c r="H98" s="69"/>
    </row>
    <row r="99" ht="18.0" customHeight="1">
      <c r="A99" s="1"/>
      <c r="B99" s="71"/>
      <c r="C99" s="48"/>
      <c r="D99" s="71"/>
      <c r="E99" s="72"/>
      <c r="F99" s="68"/>
      <c r="G99" s="47"/>
      <c r="H99" s="71"/>
    </row>
    <row r="100" ht="18.0" customHeight="1">
      <c r="A100" s="1"/>
      <c r="B100" s="10"/>
      <c r="C100" s="48"/>
      <c r="D100" s="10"/>
      <c r="E100" s="11"/>
      <c r="F100" s="68"/>
      <c r="G100" s="47"/>
      <c r="H100" s="10"/>
    </row>
    <row r="101" ht="18.0" customHeight="1">
      <c r="A101" s="1"/>
      <c r="B101" s="10"/>
      <c r="C101" s="48"/>
      <c r="D101" s="10"/>
      <c r="E101" s="11"/>
      <c r="F101" s="68"/>
      <c r="G101" s="47"/>
      <c r="H101" s="10"/>
    </row>
    <row r="102" ht="18.0" customHeight="1">
      <c r="A102" s="1"/>
      <c r="B102" s="10"/>
      <c r="C102" s="48"/>
      <c r="D102" s="10"/>
      <c r="E102" s="11"/>
      <c r="F102" s="68"/>
      <c r="G102" s="47"/>
      <c r="H102" s="10"/>
    </row>
    <row r="103" ht="18.0" customHeight="1">
      <c r="A103" s="1"/>
      <c r="B103" s="10"/>
      <c r="C103" s="48"/>
      <c r="D103" s="10"/>
      <c r="E103" s="11"/>
      <c r="F103" s="68"/>
      <c r="G103" s="47"/>
      <c r="H103" s="10"/>
    </row>
    <row r="104" ht="18.0" customHeight="1">
      <c r="A104" s="1"/>
      <c r="B104" s="10"/>
      <c r="C104" s="48"/>
      <c r="D104" s="10"/>
      <c r="E104" s="11"/>
      <c r="F104" s="68"/>
      <c r="G104" s="47"/>
      <c r="H104" s="10"/>
    </row>
    <row r="105" ht="18.0" customHeight="1">
      <c r="A105" s="1"/>
      <c r="B105" s="66"/>
      <c r="C105" s="48"/>
      <c r="D105" s="66"/>
      <c r="E105" s="67"/>
      <c r="F105" s="68"/>
      <c r="G105" s="47"/>
      <c r="H105" s="66"/>
    </row>
    <row r="106" ht="18.0" customHeight="1">
      <c r="A106" s="1"/>
      <c r="B106" s="66"/>
      <c r="C106" s="48"/>
      <c r="D106" s="66"/>
      <c r="E106" s="67"/>
      <c r="F106" s="68"/>
      <c r="G106" s="47"/>
      <c r="H106" s="66"/>
    </row>
    <row r="107" ht="18.0" customHeight="1">
      <c r="A107" s="1"/>
      <c r="B107" s="69"/>
      <c r="C107" s="48"/>
      <c r="D107" s="69"/>
      <c r="E107" s="70"/>
      <c r="F107" s="68"/>
      <c r="G107" s="47"/>
      <c r="H107" s="69"/>
    </row>
    <row r="108" ht="18.0" customHeight="1">
      <c r="A108" s="1"/>
      <c r="B108" s="69"/>
      <c r="C108" s="48"/>
      <c r="D108" s="69"/>
      <c r="E108" s="70"/>
      <c r="F108" s="68"/>
      <c r="G108" s="47"/>
      <c r="H108" s="69"/>
    </row>
    <row r="109" ht="18.0" customHeight="1">
      <c r="A109" s="1"/>
      <c r="B109" s="71"/>
      <c r="C109" s="48"/>
      <c r="D109" s="71"/>
      <c r="E109" s="72"/>
      <c r="F109" s="68"/>
      <c r="G109" s="47"/>
      <c r="H109" s="71"/>
    </row>
    <row r="110" ht="18.0" customHeight="1">
      <c r="A110" s="1"/>
      <c r="B110" s="10"/>
      <c r="C110" s="48"/>
      <c r="D110" s="10"/>
      <c r="E110" s="11"/>
      <c r="F110" s="68"/>
      <c r="G110" s="47"/>
      <c r="H110" s="10"/>
    </row>
    <row r="111" ht="18.0" customHeight="1">
      <c r="A111" s="1"/>
      <c r="B111" s="10"/>
      <c r="C111" s="48"/>
      <c r="D111" s="10"/>
      <c r="E111" s="11"/>
      <c r="F111" s="68"/>
      <c r="G111" s="47"/>
      <c r="H111" s="10"/>
    </row>
    <row r="112" ht="18.0" customHeight="1">
      <c r="A112" s="1"/>
      <c r="B112" s="10"/>
      <c r="C112" s="48"/>
      <c r="D112" s="10"/>
      <c r="E112" s="11"/>
      <c r="F112" s="68"/>
      <c r="G112" s="47"/>
      <c r="H112" s="10"/>
    </row>
    <row r="113" ht="18.0" customHeight="1">
      <c r="A113" s="1"/>
      <c r="B113" s="10"/>
      <c r="C113" s="48"/>
      <c r="D113" s="10"/>
      <c r="E113" s="11"/>
      <c r="F113" s="68"/>
      <c r="G113" s="47"/>
      <c r="H113" s="10"/>
    </row>
    <row r="114" ht="18.0" customHeight="1">
      <c r="A114" s="1"/>
      <c r="B114" s="10"/>
      <c r="C114" s="48"/>
      <c r="D114" s="10"/>
      <c r="E114" s="11"/>
      <c r="F114" s="68"/>
      <c r="G114" s="47"/>
      <c r="H114" s="10"/>
    </row>
    <row r="115" ht="18.0" customHeight="1">
      <c r="A115" s="1"/>
      <c r="B115" s="66"/>
      <c r="C115" s="48"/>
      <c r="D115" s="66"/>
      <c r="E115" s="67"/>
      <c r="F115" s="68"/>
      <c r="G115" s="47"/>
      <c r="H115" s="66"/>
    </row>
    <row r="116" ht="18.0" customHeight="1">
      <c r="A116" s="1"/>
      <c r="B116" s="66"/>
      <c r="C116" s="48"/>
      <c r="D116" s="66"/>
      <c r="E116" s="67"/>
      <c r="F116" s="68"/>
      <c r="G116" s="47"/>
      <c r="H116" s="66"/>
    </row>
    <row r="117" ht="18.0" customHeight="1">
      <c r="A117" s="1"/>
      <c r="B117" s="69"/>
      <c r="C117" s="48"/>
      <c r="D117" s="69"/>
      <c r="E117" s="70"/>
      <c r="F117" s="68"/>
      <c r="G117" s="47"/>
      <c r="H117" s="69"/>
    </row>
    <row r="118" ht="18.0" customHeight="1">
      <c r="A118" s="1"/>
      <c r="B118" s="69"/>
      <c r="C118" s="48"/>
      <c r="D118" s="69"/>
      <c r="E118" s="70"/>
      <c r="F118" s="68"/>
      <c r="G118" s="47"/>
      <c r="H118" s="69"/>
    </row>
    <row r="119" ht="18.0" customHeight="1">
      <c r="A119" s="1"/>
      <c r="B119" s="71"/>
      <c r="C119" s="48"/>
      <c r="D119" s="71"/>
      <c r="E119" s="72"/>
      <c r="F119" s="68"/>
      <c r="G119" s="47"/>
      <c r="H119" s="71"/>
    </row>
    <row r="120" ht="18.0" customHeight="1">
      <c r="A120" s="1"/>
      <c r="B120" s="10"/>
      <c r="C120" s="48"/>
      <c r="D120" s="10"/>
      <c r="E120" s="11"/>
      <c r="F120" s="68"/>
      <c r="G120" s="47"/>
      <c r="H120" s="10"/>
    </row>
    <row r="121" ht="18.0" customHeight="1">
      <c r="A121" s="1"/>
      <c r="B121" s="10"/>
      <c r="C121" s="48"/>
      <c r="D121" s="10"/>
      <c r="E121" s="11"/>
      <c r="F121" s="68"/>
      <c r="G121" s="47"/>
      <c r="H121" s="10"/>
    </row>
    <row r="122" ht="18.0" customHeight="1">
      <c r="A122" s="1"/>
      <c r="B122" s="10"/>
      <c r="C122" s="48"/>
      <c r="D122" s="10"/>
      <c r="E122" s="11"/>
      <c r="F122" s="68"/>
      <c r="G122" s="47"/>
      <c r="H122" s="10"/>
    </row>
    <row r="123" ht="18.0" customHeight="1">
      <c r="A123" s="1"/>
      <c r="B123" s="10"/>
      <c r="C123" s="48"/>
      <c r="D123" s="10"/>
      <c r="E123" s="11"/>
      <c r="F123" s="68"/>
      <c r="G123" s="47"/>
      <c r="H123" s="10"/>
    </row>
    <row r="124" ht="18.0" customHeight="1">
      <c r="A124" s="1"/>
      <c r="B124" s="10"/>
      <c r="C124" s="48"/>
      <c r="D124" s="10"/>
      <c r="E124" s="11"/>
      <c r="F124" s="68"/>
      <c r="G124" s="47"/>
      <c r="H124" s="10"/>
    </row>
    <row r="125" ht="18.0" customHeight="1">
      <c r="A125" s="1"/>
      <c r="B125" s="66"/>
      <c r="C125" s="48"/>
      <c r="D125" s="66"/>
      <c r="E125" s="67"/>
      <c r="F125" s="68"/>
      <c r="G125" s="47"/>
      <c r="H125" s="66"/>
    </row>
    <row r="126" ht="18.0" customHeight="1">
      <c r="A126" s="1"/>
      <c r="B126" s="66"/>
      <c r="C126" s="48"/>
      <c r="D126" s="66"/>
      <c r="E126" s="67"/>
      <c r="F126" s="68"/>
      <c r="G126" s="47"/>
      <c r="H126" s="66"/>
    </row>
    <row r="127" ht="18.0" customHeight="1">
      <c r="A127" s="1"/>
      <c r="B127" s="69"/>
      <c r="C127" s="48"/>
      <c r="D127" s="69"/>
      <c r="E127" s="70"/>
      <c r="F127" s="68"/>
      <c r="G127" s="47"/>
      <c r="H127" s="69"/>
    </row>
    <row r="128" ht="18.0" customHeight="1">
      <c r="A128" s="1"/>
      <c r="B128" s="69"/>
      <c r="C128" s="48"/>
      <c r="D128" s="69"/>
      <c r="E128" s="70"/>
      <c r="F128" s="68"/>
      <c r="G128" s="47"/>
      <c r="H128" s="69"/>
    </row>
    <row r="129" ht="18.0" customHeight="1">
      <c r="A129" s="1"/>
      <c r="B129" s="71"/>
      <c r="C129" s="48"/>
      <c r="D129" s="71"/>
      <c r="E129" s="72"/>
      <c r="F129" s="68"/>
      <c r="G129" s="47"/>
      <c r="H129" s="71"/>
    </row>
    <row r="130" ht="18.0" customHeight="1">
      <c r="A130" s="1"/>
      <c r="B130" s="10"/>
      <c r="C130" s="48"/>
      <c r="D130" s="10"/>
      <c r="E130" s="11"/>
      <c r="F130" s="68"/>
      <c r="G130" s="47"/>
      <c r="H130" s="10"/>
    </row>
    <row r="131" ht="18.0" customHeight="1">
      <c r="A131" s="1"/>
      <c r="B131" s="10"/>
      <c r="C131" s="48"/>
      <c r="D131" s="10"/>
      <c r="E131" s="11"/>
      <c r="F131" s="68"/>
      <c r="G131" s="47"/>
      <c r="H131" s="10"/>
    </row>
    <row r="132" ht="18.0" customHeight="1">
      <c r="A132" s="1"/>
      <c r="B132" s="10"/>
      <c r="C132" s="48"/>
      <c r="D132" s="10"/>
      <c r="E132" s="11"/>
      <c r="F132" s="68"/>
      <c r="G132" s="47"/>
      <c r="H132" s="10"/>
    </row>
    <row r="133" ht="18.0" customHeight="1">
      <c r="A133" s="1"/>
      <c r="B133" s="10"/>
      <c r="C133" s="48"/>
      <c r="D133" s="10"/>
      <c r="E133" s="11"/>
      <c r="F133" s="68"/>
      <c r="G133" s="47"/>
      <c r="H133" s="10"/>
    </row>
    <row r="134" ht="18.0" customHeight="1">
      <c r="A134" s="1"/>
      <c r="B134" s="10"/>
      <c r="C134" s="48"/>
      <c r="D134" s="10"/>
      <c r="E134" s="11"/>
      <c r="F134" s="68"/>
      <c r="G134" s="47"/>
      <c r="H134" s="10"/>
    </row>
    <row r="135" ht="18.0" customHeight="1">
      <c r="A135" s="1"/>
      <c r="B135" s="66"/>
      <c r="C135" s="48"/>
      <c r="D135" s="66"/>
      <c r="E135" s="67"/>
      <c r="F135" s="68"/>
      <c r="G135" s="47"/>
      <c r="H135" s="66"/>
    </row>
    <row r="136" ht="18.0" customHeight="1">
      <c r="A136" s="1"/>
      <c r="B136" s="66"/>
      <c r="C136" s="48"/>
      <c r="D136" s="66"/>
      <c r="E136" s="67"/>
      <c r="F136" s="68"/>
      <c r="G136" s="47"/>
      <c r="H136" s="66"/>
    </row>
    <row r="137" ht="18.0" customHeight="1">
      <c r="A137" s="1"/>
      <c r="B137" s="69"/>
      <c r="C137" s="48"/>
      <c r="D137" s="69"/>
      <c r="E137" s="70"/>
      <c r="F137" s="68"/>
      <c r="G137" s="47"/>
      <c r="H137" s="69"/>
    </row>
    <row r="138" ht="18.0" customHeight="1">
      <c r="A138" s="1"/>
      <c r="B138" s="69"/>
      <c r="C138" s="48"/>
      <c r="D138" s="69"/>
      <c r="E138" s="70"/>
      <c r="F138" s="68"/>
      <c r="G138" s="47"/>
      <c r="H138" s="69"/>
      <c r="J138" s="73" t="s">
        <v>81</v>
      </c>
    </row>
    <row r="139" ht="18.0" customHeight="1">
      <c r="A139" s="1"/>
      <c r="B139" s="71"/>
      <c r="C139" s="48"/>
      <c r="D139" s="71"/>
      <c r="E139" s="72"/>
      <c r="F139" s="68"/>
      <c r="G139" s="47"/>
      <c r="H139" s="7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3.5" customHeight="1">
      <c r="A141" s="1"/>
      <c r="B141" s="8" t="s">
        <v>82</v>
      </c>
      <c r="C141" s="3"/>
      <c r="D141" s="3"/>
      <c r="E141" s="3"/>
      <c r="F141" s="3"/>
      <c r="G141" s="3"/>
      <c r="H141" s="4"/>
    </row>
    <row r="142" ht="19.5" customHeight="1">
      <c r="A142" s="1"/>
      <c r="B142" s="74" t="s">
        <v>83</v>
      </c>
      <c r="C142" s="75"/>
      <c r="D142" s="75"/>
      <c r="E142" s="12">
        <f>SUMIF(#REF!,"Custos Fixos",E19:E139)</f>
        <v>0</v>
      </c>
      <c r="F142" s="75"/>
      <c r="G142" s="75"/>
      <c r="H142" s="75"/>
    </row>
    <row r="143" ht="19.5" customHeight="1">
      <c r="A143" s="1"/>
      <c r="B143" s="76" t="s">
        <v>84</v>
      </c>
      <c r="C143" s="77"/>
      <c r="D143" s="77"/>
      <c r="E143" s="12">
        <f>SUMIF(#REF!,"Custos Variáveis",E19:E139)</f>
        <v>0</v>
      </c>
      <c r="F143" s="77"/>
      <c r="G143" s="77"/>
      <c r="H143" s="77"/>
    </row>
    <row r="144" ht="19.5" customHeight="1">
      <c r="A144" s="1"/>
      <c r="B144" s="78" t="s">
        <v>85</v>
      </c>
      <c r="C144" s="79"/>
      <c r="D144" s="79"/>
      <c r="E144" s="12">
        <f>SUMIF(#REF!,"Impostos e Taxas",E19:E139)</f>
        <v>0</v>
      </c>
      <c r="F144" s="79"/>
      <c r="G144" s="79"/>
      <c r="H144" s="79"/>
    </row>
    <row r="145" ht="19.5" customHeight="1">
      <c r="A145" s="1"/>
      <c r="B145" s="80" t="s">
        <v>86</v>
      </c>
      <c r="C145" s="81"/>
      <c r="D145" s="81"/>
      <c r="E145" s="12">
        <f>SUMIF(#REF!,"Pró-labore / Retirada",E19:E139)</f>
        <v>0</v>
      </c>
      <c r="F145" s="81"/>
      <c r="G145" s="81"/>
      <c r="H145" s="81"/>
    </row>
    <row r="146" ht="21.75" customHeight="1">
      <c r="A146" s="1"/>
      <c r="B146" s="82" t="s">
        <v>87</v>
      </c>
      <c r="C146" s="3"/>
      <c r="D146" s="4"/>
      <c r="E146" s="83">
        <f>SUM(E142:E145)</f>
        <v>0</v>
      </c>
      <c r="F146" s="84"/>
      <c r="G146" s="84"/>
      <c r="H146" s="84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</row>
  </sheetData>
  <autoFilter ref="$B$4:$H$18"/>
  <mergeCells count="4">
    <mergeCell ref="B1:H1"/>
    <mergeCell ref="B2:H2"/>
    <mergeCell ref="B141:H141"/>
    <mergeCell ref="B146:D146"/>
  </mergeCells>
  <dataValidations>
    <dataValidation type="list" allowBlank="1" showErrorMessage="1" sqref="F5:F139">
      <formula1>"Filmagem  ,Edição, Fotografia ,Quinto Andar,Produto Digital ,Outros"</formula1>
    </dataValidation>
    <dataValidation type="list" allowBlank="1" showErrorMessage="1" sqref="G5:G139">
      <formula1>"Entregue,Prioridade,Não Entregue"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4" width="14.0"/>
    <col customWidth="1" min="5" max="5" width="24.0"/>
    <col customWidth="1" min="6" max="6" width="20.0"/>
    <col customWidth="1" min="7" max="7" width="16.0"/>
    <col customWidth="1" min="8" max="8" width="14.0"/>
    <col customWidth="1" min="9" max="9" width="24.0"/>
    <col customWidth="1" min="10" max="26" width="8.71"/>
  </cols>
  <sheetData>
    <row r="1" ht="31.5" customHeight="1">
      <c r="A1" s="1"/>
      <c r="B1" s="44" t="s">
        <v>47</v>
      </c>
      <c r="C1" s="3"/>
      <c r="D1" s="3"/>
      <c r="E1" s="3"/>
      <c r="F1" s="3"/>
      <c r="G1" s="3"/>
      <c r="H1" s="3"/>
      <c r="I1" s="4"/>
    </row>
    <row r="2" ht="18.0" customHeight="1">
      <c r="A2" s="1"/>
      <c r="B2" s="45" t="s">
        <v>48</v>
      </c>
      <c r="C2" s="6"/>
      <c r="D2" s="6"/>
      <c r="E2" s="6"/>
      <c r="F2" s="6"/>
      <c r="G2" s="6"/>
      <c r="H2" s="6"/>
      <c r="I2" s="7"/>
    </row>
    <row r="3" ht="7.5" customHeight="1">
      <c r="A3" s="1"/>
      <c r="B3" s="1"/>
      <c r="C3" s="85"/>
      <c r="D3" s="1"/>
      <c r="E3" s="1"/>
      <c r="F3" s="1"/>
      <c r="G3" s="1"/>
      <c r="H3" s="1"/>
      <c r="I3" s="1"/>
    </row>
    <row r="4" ht="21.75" customHeight="1">
      <c r="A4" s="1"/>
      <c r="B4" s="9" t="s">
        <v>49</v>
      </c>
      <c r="C4" s="86" t="s">
        <v>88</v>
      </c>
      <c r="D4" s="9" t="s">
        <v>50</v>
      </c>
      <c r="E4" s="9" t="s">
        <v>51</v>
      </c>
      <c r="F4" s="9" t="s">
        <v>3</v>
      </c>
      <c r="G4" s="9" t="s">
        <v>52</v>
      </c>
      <c r="H4" s="9" t="s">
        <v>53</v>
      </c>
      <c r="I4" s="9" t="s">
        <v>54</v>
      </c>
    </row>
    <row r="5" ht="18.0" customHeight="1">
      <c r="A5" s="1"/>
      <c r="B5" s="47" t="s">
        <v>55</v>
      </c>
      <c r="C5" s="48">
        <v>46130.0</v>
      </c>
      <c r="D5" s="48"/>
      <c r="E5" s="47" t="s">
        <v>89</v>
      </c>
      <c r="F5" s="51" t="s">
        <v>84</v>
      </c>
      <c r="G5" s="49">
        <v>56.92</v>
      </c>
      <c r="H5" s="50" t="s">
        <v>90</v>
      </c>
      <c r="I5" s="51"/>
    </row>
    <row r="6" ht="18.0" customHeight="1">
      <c r="A6" s="1"/>
      <c r="B6" s="47" t="s">
        <v>55</v>
      </c>
      <c r="C6" s="48">
        <v>46152.0</v>
      </c>
      <c r="D6" s="48"/>
      <c r="E6" s="51" t="s">
        <v>91</v>
      </c>
      <c r="F6" s="51" t="s">
        <v>83</v>
      </c>
      <c r="G6" s="49">
        <v>1000.0</v>
      </c>
      <c r="H6" s="50" t="s">
        <v>92</v>
      </c>
      <c r="I6" s="47" t="s">
        <v>93</v>
      </c>
    </row>
    <row r="7" ht="18.0" customHeight="1">
      <c r="A7" s="1"/>
      <c r="B7" s="47" t="s">
        <v>55</v>
      </c>
      <c r="C7" s="48">
        <v>46152.0</v>
      </c>
      <c r="D7" s="48"/>
      <c r="E7" s="47" t="s">
        <v>94</v>
      </c>
      <c r="F7" s="51" t="s">
        <v>83</v>
      </c>
      <c r="G7" s="49">
        <v>260.0</v>
      </c>
      <c r="H7" s="50" t="s">
        <v>92</v>
      </c>
      <c r="I7" s="51"/>
    </row>
    <row r="8" ht="18.0" customHeight="1">
      <c r="A8" s="1"/>
      <c r="B8" s="47" t="s">
        <v>55</v>
      </c>
      <c r="C8" s="48">
        <v>46154.0</v>
      </c>
      <c r="D8" s="48"/>
      <c r="E8" s="47" t="s">
        <v>95</v>
      </c>
      <c r="F8" s="51" t="s">
        <v>83</v>
      </c>
      <c r="G8" s="49">
        <v>96.99</v>
      </c>
      <c r="H8" s="87"/>
      <c r="I8" s="51"/>
    </row>
    <row r="9" ht="18.0" customHeight="1">
      <c r="A9" s="1"/>
      <c r="B9" s="47" t="s">
        <v>55</v>
      </c>
      <c r="C9" s="48">
        <v>46156.0</v>
      </c>
      <c r="D9" s="48"/>
      <c r="E9" s="47" t="s">
        <v>96</v>
      </c>
      <c r="F9" s="51" t="s">
        <v>84</v>
      </c>
      <c r="G9" s="49">
        <v>65.9</v>
      </c>
      <c r="H9" s="87"/>
      <c r="I9" s="51"/>
    </row>
    <row r="10" ht="18.0" customHeight="1">
      <c r="A10" s="1"/>
      <c r="B10" s="47" t="s">
        <v>55</v>
      </c>
      <c r="C10" s="48">
        <v>46157.0</v>
      </c>
      <c r="D10" s="48"/>
      <c r="E10" s="47" t="s">
        <v>97</v>
      </c>
      <c r="F10" s="51" t="s">
        <v>83</v>
      </c>
      <c r="G10" s="49">
        <v>100.0</v>
      </c>
      <c r="H10" s="87"/>
      <c r="I10" s="51"/>
    </row>
    <row r="11" ht="18.0" customHeight="1">
      <c r="A11" s="1"/>
      <c r="B11" s="47" t="s">
        <v>55</v>
      </c>
      <c r="C11" s="48">
        <v>46101.0</v>
      </c>
      <c r="D11" s="48">
        <v>46117.0</v>
      </c>
      <c r="E11" s="47" t="s">
        <v>98</v>
      </c>
      <c r="F11" s="51" t="s">
        <v>83</v>
      </c>
      <c r="G11" s="49">
        <v>129.0</v>
      </c>
      <c r="H11" s="50" t="s">
        <v>90</v>
      </c>
      <c r="I11" s="47" t="s">
        <v>99</v>
      </c>
    </row>
    <row r="12" ht="18.0" customHeight="1">
      <c r="A12" s="1"/>
      <c r="B12" s="47" t="s">
        <v>55</v>
      </c>
      <c r="C12" s="48">
        <v>46162.0</v>
      </c>
      <c r="D12" s="48"/>
      <c r="E12" s="47" t="s">
        <v>98</v>
      </c>
      <c r="F12" s="51" t="s">
        <v>83</v>
      </c>
      <c r="G12" s="49">
        <v>129.0</v>
      </c>
      <c r="H12" s="87"/>
      <c r="I12" s="51"/>
    </row>
    <row r="13" ht="18.0" customHeight="1">
      <c r="A13" s="1"/>
      <c r="B13" s="47" t="s">
        <v>55</v>
      </c>
      <c r="C13" s="48">
        <v>46167.0</v>
      </c>
      <c r="D13" s="48"/>
      <c r="E13" s="51" t="s">
        <v>100</v>
      </c>
      <c r="F13" s="51" t="s">
        <v>83</v>
      </c>
      <c r="G13" s="49">
        <v>400.0</v>
      </c>
      <c r="H13" s="50" t="s">
        <v>92</v>
      </c>
      <c r="I13" s="51"/>
    </row>
    <row r="14" ht="18.0" customHeight="1">
      <c r="A14" s="1"/>
      <c r="B14" s="47" t="s">
        <v>55</v>
      </c>
      <c r="C14" s="48">
        <v>46171.0</v>
      </c>
      <c r="D14" s="48"/>
      <c r="E14" s="47" t="s">
        <v>101</v>
      </c>
      <c r="F14" s="51" t="s">
        <v>83</v>
      </c>
      <c r="G14" s="49">
        <v>60.0</v>
      </c>
      <c r="H14" s="87"/>
      <c r="I14" s="51"/>
    </row>
    <row r="15" ht="18.0" customHeight="1">
      <c r="A15" s="1"/>
      <c r="B15" s="47" t="s">
        <v>55</v>
      </c>
      <c r="C15" s="48">
        <v>46172.0</v>
      </c>
      <c r="D15" s="48"/>
      <c r="E15" s="51" t="s">
        <v>102</v>
      </c>
      <c r="F15" s="51" t="s">
        <v>85</v>
      </c>
      <c r="G15" s="49">
        <v>0.0</v>
      </c>
      <c r="H15" s="87"/>
      <c r="I15" s="51"/>
    </row>
    <row r="16" ht="18.0" customHeight="1">
      <c r="A16" s="1"/>
      <c r="B16" s="47" t="s">
        <v>55</v>
      </c>
      <c r="C16" s="48">
        <v>46172.0</v>
      </c>
      <c r="D16" s="48"/>
      <c r="E16" s="51" t="s">
        <v>103</v>
      </c>
      <c r="F16" s="51" t="s">
        <v>85</v>
      </c>
      <c r="G16" s="49">
        <v>0.0</v>
      </c>
      <c r="H16" s="87"/>
      <c r="I16" s="51"/>
    </row>
    <row r="17" ht="18.0" customHeight="1">
      <c r="A17" s="1"/>
      <c r="B17" s="47" t="s">
        <v>55</v>
      </c>
      <c r="C17" s="88"/>
      <c r="D17" s="48"/>
      <c r="E17" s="47" t="s">
        <v>104</v>
      </c>
      <c r="F17" s="51" t="s">
        <v>84</v>
      </c>
      <c r="G17" s="49">
        <v>0.0</v>
      </c>
      <c r="H17" s="87"/>
      <c r="I17" s="51"/>
    </row>
    <row r="18" ht="18.0" customHeight="1">
      <c r="A18" s="1"/>
      <c r="B18" s="47" t="s">
        <v>55</v>
      </c>
      <c r="C18" s="88"/>
      <c r="D18" s="48"/>
      <c r="E18" s="47" t="s">
        <v>105</v>
      </c>
      <c r="F18" s="51" t="s">
        <v>84</v>
      </c>
      <c r="G18" s="49">
        <v>0.0</v>
      </c>
      <c r="H18" s="87"/>
      <c r="I18" s="51"/>
    </row>
    <row r="19" ht="18.0" customHeight="1">
      <c r="A19" s="1"/>
      <c r="B19" s="47" t="s">
        <v>55</v>
      </c>
      <c r="C19" s="88"/>
      <c r="D19" s="48"/>
      <c r="E19" s="47" t="s">
        <v>106</v>
      </c>
      <c r="F19" s="51" t="s">
        <v>84</v>
      </c>
      <c r="G19" s="49">
        <v>0.0</v>
      </c>
      <c r="H19" s="87"/>
      <c r="I19" s="51"/>
    </row>
    <row r="20" ht="18.0" customHeight="1">
      <c r="A20" s="1"/>
      <c r="B20" s="47" t="s">
        <v>55</v>
      </c>
      <c r="C20" s="88"/>
      <c r="D20" s="48">
        <v>46123.0</v>
      </c>
      <c r="E20" s="47" t="s">
        <v>107</v>
      </c>
      <c r="F20" s="51" t="s">
        <v>84</v>
      </c>
      <c r="G20" s="49">
        <v>100.0</v>
      </c>
      <c r="H20" s="50" t="s">
        <v>90</v>
      </c>
      <c r="I20" s="51"/>
    </row>
    <row r="21" ht="18.0" customHeight="1">
      <c r="A21" s="1"/>
      <c r="B21" s="47" t="s">
        <v>55</v>
      </c>
      <c r="C21" s="88"/>
      <c r="D21" s="48"/>
      <c r="E21" s="47" t="s">
        <v>89</v>
      </c>
      <c r="F21" s="51" t="s">
        <v>84</v>
      </c>
      <c r="G21" s="49">
        <v>109.59</v>
      </c>
      <c r="H21" s="50" t="s">
        <v>90</v>
      </c>
      <c r="I21" s="51"/>
    </row>
    <row r="22" ht="18.0" customHeight="1">
      <c r="A22" s="1"/>
      <c r="B22" s="47" t="s">
        <v>55</v>
      </c>
      <c r="C22" s="88"/>
      <c r="D22" s="48">
        <v>46119.0</v>
      </c>
      <c r="E22" s="47" t="s">
        <v>108</v>
      </c>
      <c r="F22" s="51" t="s">
        <v>109</v>
      </c>
      <c r="G22" s="49">
        <v>52.0</v>
      </c>
      <c r="H22" s="50" t="s">
        <v>90</v>
      </c>
      <c r="I22" s="51" t="s">
        <v>110</v>
      </c>
    </row>
    <row r="23" ht="18.0" customHeight="1">
      <c r="A23" s="1"/>
      <c r="B23" s="47" t="s">
        <v>55</v>
      </c>
      <c r="C23" s="88"/>
      <c r="D23" s="48">
        <v>46125.0</v>
      </c>
      <c r="E23" s="47" t="s">
        <v>108</v>
      </c>
      <c r="F23" s="51" t="s">
        <v>109</v>
      </c>
      <c r="G23" s="49">
        <v>26.5</v>
      </c>
      <c r="H23" s="50" t="s">
        <v>90</v>
      </c>
      <c r="I23" s="51"/>
    </row>
    <row r="24" ht="18.0" customHeight="1">
      <c r="A24" s="1"/>
      <c r="B24" s="47" t="s">
        <v>55</v>
      </c>
      <c r="C24" s="88"/>
      <c r="D24" s="48">
        <v>46139.0</v>
      </c>
      <c r="E24" s="47" t="s">
        <v>108</v>
      </c>
      <c r="F24" s="51" t="s">
        <v>109</v>
      </c>
      <c r="G24" s="49">
        <v>26.32</v>
      </c>
      <c r="H24" s="50" t="s">
        <v>90</v>
      </c>
      <c r="I24" s="51"/>
    </row>
    <row r="25" ht="18.0" customHeight="1">
      <c r="A25" s="1"/>
      <c r="B25" s="47" t="s">
        <v>55</v>
      </c>
      <c r="C25" s="88"/>
      <c r="D25" s="48">
        <v>46141.0</v>
      </c>
      <c r="E25" s="47" t="s">
        <v>108</v>
      </c>
      <c r="F25" s="51" t="s">
        <v>109</v>
      </c>
      <c r="G25" s="49">
        <v>26.32</v>
      </c>
      <c r="H25" s="50" t="s">
        <v>90</v>
      </c>
      <c r="I25" s="51"/>
    </row>
    <row r="26" ht="18.0" customHeight="1">
      <c r="A26" s="1"/>
      <c r="B26" s="47"/>
      <c r="C26" s="88"/>
      <c r="D26" s="48"/>
      <c r="E26" s="47"/>
      <c r="F26" s="51"/>
      <c r="G26" s="49"/>
      <c r="H26" s="50"/>
      <c r="I26" s="51"/>
    </row>
    <row r="27" ht="18.0" customHeight="1">
      <c r="A27" s="1"/>
      <c r="B27" s="47"/>
      <c r="C27" s="88"/>
      <c r="D27" s="48"/>
      <c r="E27" s="47"/>
      <c r="F27" s="51"/>
      <c r="G27" s="49"/>
      <c r="H27" s="50"/>
      <c r="I27" s="51"/>
    </row>
    <row r="28" ht="18.0" customHeight="1">
      <c r="A28" s="1"/>
      <c r="B28" s="47"/>
      <c r="C28" s="88"/>
      <c r="D28" s="48"/>
      <c r="E28" s="47"/>
      <c r="F28" s="51"/>
      <c r="G28" s="49"/>
      <c r="H28" s="50"/>
      <c r="I28" s="51"/>
    </row>
    <row r="29" ht="18.0" customHeight="1">
      <c r="A29" s="1"/>
      <c r="B29" s="47"/>
      <c r="C29" s="88"/>
      <c r="D29" s="48"/>
      <c r="E29" s="47"/>
      <c r="F29" s="51"/>
      <c r="G29" s="49"/>
      <c r="H29" s="50"/>
      <c r="I29" s="51"/>
    </row>
    <row r="30" ht="18.0" customHeight="1">
      <c r="A30" s="1"/>
      <c r="B30" s="47"/>
      <c r="C30" s="88"/>
      <c r="D30" s="48"/>
      <c r="E30" s="47"/>
      <c r="F30" s="51"/>
      <c r="G30" s="49"/>
      <c r="H30" s="50"/>
      <c r="I30" s="51"/>
    </row>
    <row r="31" ht="18.0" customHeight="1">
      <c r="A31" s="1"/>
      <c r="B31" s="47"/>
      <c r="C31" s="88"/>
      <c r="D31" s="48"/>
      <c r="E31" s="47"/>
      <c r="F31" s="51"/>
      <c r="G31" s="49"/>
      <c r="H31" s="50"/>
      <c r="I31" s="51"/>
    </row>
    <row r="32" ht="18.0" customHeight="1">
      <c r="A32" s="1"/>
      <c r="B32" s="47"/>
      <c r="C32" s="88"/>
      <c r="D32" s="48"/>
      <c r="E32" s="47"/>
      <c r="F32" s="51"/>
      <c r="G32" s="49"/>
      <c r="H32" s="50"/>
      <c r="I32" s="51"/>
    </row>
    <row r="33" ht="18.0" customHeight="1">
      <c r="A33" s="1"/>
      <c r="B33" s="47"/>
      <c r="C33" s="88"/>
      <c r="D33" s="48"/>
      <c r="E33" s="47"/>
      <c r="F33" s="51"/>
      <c r="G33" s="49"/>
      <c r="H33" s="50"/>
      <c r="I33" s="51"/>
    </row>
    <row r="34" ht="18.0" customHeight="1">
      <c r="A34" s="1"/>
      <c r="B34" s="47"/>
      <c r="C34" s="88"/>
      <c r="D34" s="48"/>
      <c r="E34" s="47"/>
      <c r="F34" s="51"/>
      <c r="G34" s="49"/>
      <c r="H34" s="50"/>
      <c r="I34" s="51"/>
    </row>
    <row r="35" ht="18.0" customHeight="1">
      <c r="A35" s="1"/>
      <c r="B35" s="47"/>
      <c r="C35" s="88"/>
      <c r="D35" s="48"/>
      <c r="E35" s="47"/>
      <c r="F35" s="51"/>
      <c r="G35" s="49"/>
      <c r="H35" s="50"/>
      <c r="I35" s="51"/>
    </row>
    <row r="36" ht="18.0" customHeight="1">
      <c r="A36" s="1"/>
      <c r="B36" s="47"/>
      <c r="C36" s="88"/>
      <c r="D36" s="48"/>
      <c r="E36" s="47"/>
      <c r="F36" s="51"/>
      <c r="G36" s="49"/>
      <c r="H36" s="50"/>
      <c r="I36" s="51"/>
    </row>
    <row r="37" ht="18.0" customHeight="1">
      <c r="A37" s="1"/>
      <c r="B37" s="52" t="s">
        <v>77</v>
      </c>
      <c r="C37" s="89">
        <v>46152.0</v>
      </c>
      <c r="D37" s="90"/>
      <c r="E37" s="55" t="s">
        <v>91</v>
      </c>
      <c r="F37" s="55" t="s">
        <v>83</v>
      </c>
      <c r="G37" s="53">
        <v>1000.0</v>
      </c>
      <c r="H37" s="56"/>
      <c r="I37" s="55"/>
    </row>
    <row r="38" ht="18.0" customHeight="1">
      <c r="A38" s="1"/>
      <c r="B38" s="52" t="s">
        <v>77</v>
      </c>
      <c r="C38" s="89">
        <v>46152.0</v>
      </c>
      <c r="D38" s="90"/>
      <c r="E38" s="52" t="s">
        <v>94</v>
      </c>
      <c r="F38" s="55" t="s">
        <v>83</v>
      </c>
      <c r="G38" s="53">
        <v>260.0</v>
      </c>
      <c r="H38" s="56"/>
      <c r="I38" s="55"/>
    </row>
    <row r="39" ht="18.0" customHeight="1">
      <c r="A39" s="1"/>
      <c r="B39" s="52" t="s">
        <v>77</v>
      </c>
      <c r="C39" s="89">
        <v>46154.0</v>
      </c>
      <c r="D39" s="90"/>
      <c r="E39" s="52" t="s">
        <v>95</v>
      </c>
      <c r="F39" s="55" t="s">
        <v>83</v>
      </c>
      <c r="G39" s="53">
        <v>96.99</v>
      </c>
      <c r="H39" s="56"/>
      <c r="I39" s="55"/>
    </row>
    <row r="40" ht="18.0" customHeight="1">
      <c r="A40" s="1"/>
      <c r="B40" s="52" t="s">
        <v>77</v>
      </c>
      <c r="C40" s="89">
        <v>46156.0</v>
      </c>
      <c r="D40" s="90"/>
      <c r="E40" s="52" t="s">
        <v>96</v>
      </c>
      <c r="F40" s="55" t="s">
        <v>84</v>
      </c>
      <c r="G40" s="53">
        <v>65.9</v>
      </c>
      <c r="H40" s="56"/>
      <c r="I40" s="55"/>
    </row>
    <row r="41" ht="18.0" customHeight="1">
      <c r="A41" s="1"/>
      <c r="B41" s="52" t="s">
        <v>77</v>
      </c>
      <c r="C41" s="89">
        <v>46157.0</v>
      </c>
      <c r="D41" s="90"/>
      <c r="E41" s="52" t="s">
        <v>97</v>
      </c>
      <c r="F41" s="55" t="s">
        <v>83</v>
      </c>
      <c r="G41" s="53">
        <v>100.0</v>
      </c>
      <c r="H41" s="56"/>
      <c r="I41" s="55"/>
    </row>
    <row r="42" ht="18.0" customHeight="1">
      <c r="A42" s="1"/>
      <c r="B42" s="52" t="s">
        <v>77</v>
      </c>
      <c r="C42" s="89">
        <v>46162.0</v>
      </c>
      <c r="D42" s="90"/>
      <c r="E42" s="52" t="s">
        <v>98</v>
      </c>
      <c r="F42" s="55" t="s">
        <v>83</v>
      </c>
      <c r="G42" s="53">
        <v>129.0</v>
      </c>
      <c r="H42" s="56"/>
      <c r="I42" s="55"/>
    </row>
    <row r="43" ht="18.0" customHeight="1">
      <c r="A43" s="1"/>
      <c r="B43" s="52" t="s">
        <v>77</v>
      </c>
      <c r="C43" s="89">
        <v>46167.0</v>
      </c>
      <c r="D43" s="90"/>
      <c r="E43" s="55" t="s">
        <v>100</v>
      </c>
      <c r="F43" s="55" t="s">
        <v>83</v>
      </c>
      <c r="G43" s="53">
        <v>400.0</v>
      </c>
      <c r="H43" s="56"/>
      <c r="I43" s="55"/>
    </row>
    <row r="44" ht="18.0" customHeight="1">
      <c r="A44" s="1"/>
      <c r="B44" s="52" t="s">
        <v>77</v>
      </c>
      <c r="C44" s="89">
        <v>46171.0</v>
      </c>
      <c r="D44" s="90"/>
      <c r="E44" s="52" t="s">
        <v>101</v>
      </c>
      <c r="F44" s="55" t="s">
        <v>83</v>
      </c>
      <c r="G44" s="53">
        <v>60.0</v>
      </c>
      <c r="H44" s="56"/>
      <c r="I44" s="55"/>
    </row>
    <row r="45" ht="18.0" customHeight="1">
      <c r="A45" s="1"/>
      <c r="B45" s="52" t="s">
        <v>77</v>
      </c>
      <c r="C45" s="89">
        <v>46172.0</v>
      </c>
      <c r="D45" s="90"/>
      <c r="E45" s="55" t="s">
        <v>102</v>
      </c>
      <c r="F45" s="55" t="s">
        <v>85</v>
      </c>
      <c r="G45" s="53">
        <v>0.0</v>
      </c>
      <c r="H45" s="56"/>
      <c r="I45" s="55"/>
    </row>
    <row r="46" ht="18.0" customHeight="1">
      <c r="A46" s="1"/>
      <c r="B46" s="52" t="s">
        <v>77</v>
      </c>
      <c r="C46" s="89">
        <v>46172.0</v>
      </c>
      <c r="D46" s="90"/>
      <c r="E46" s="55" t="s">
        <v>103</v>
      </c>
      <c r="F46" s="55" t="s">
        <v>85</v>
      </c>
      <c r="G46" s="53">
        <v>0.0</v>
      </c>
      <c r="H46" s="56"/>
      <c r="I46" s="55"/>
    </row>
    <row r="47" ht="18.0" customHeight="1">
      <c r="A47" s="1"/>
      <c r="B47" s="52" t="s">
        <v>77</v>
      </c>
      <c r="C47" s="91"/>
      <c r="D47" s="90"/>
      <c r="E47" s="52" t="s">
        <v>104</v>
      </c>
      <c r="F47" s="55" t="s">
        <v>84</v>
      </c>
      <c r="G47" s="53">
        <v>0.0</v>
      </c>
      <c r="H47" s="56"/>
      <c r="I47" s="55"/>
    </row>
    <row r="48" ht="18.0" customHeight="1">
      <c r="A48" s="1"/>
      <c r="B48" s="52" t="s">
        <v>77</v>
      </c>
      <c r="C48" s="91"/>
      <c r="D48" s="90"/>
      <c r="E48" s="52" t="s">
        <v>105</v>
      </c>
      <c r="F48" s="55" t="s">
        <v>84</v>
      </c>
      <c r="G48" s="53">
        <v>0.0</v>
      </c>
      <c r="H48" s="56"/>
      <c r="I48" s="55"/>
    </row>
    <row r="49" ht="18.0" customHeight="1">
      <c r="A49" s="1"/>
      <c r="B49" s="57" t="s">
        <v>80</v>
      </c>
      <c r="C49" s="92">
        <v>46152.0</v>
      </c>
      <c r="D49" s="93"/>
      <c r="E49" s="58" t="s">
        <v>91</v>
      </c>
      <c r="F49" s="58" t="s">
        <v>83</v>
      </c>
      <c r="G49" s="59">
        <v>1000.0</v>
      </c>
      <c r="H49" s="60"/>
      <c r="I49" s="58"/>
    </row>
    <row r="50" ht="18.0" customHeight="1">
      <c r="A50" s="1"/>
      <c r="B50" s="57" t="s">
        <v>80</v>
      </c>
      <c r="C50" s="92">
        <v>46152.0</v>
      </c>
      <c r="D50" s="93"/>
      <c r="E50" s="57" t="s">
        <v>94</v>
      </c>
      <c r="F50" s="58" t="s">
        <v>83</v>
      </c>
      <c r="G50" s="59">
        <v>260.0</v>
      </c>
      <c r="H50" s="60"/>
      <c r="I50" s="58"/>
    </row>
    <row r="51" ht="18.0" customHeight="1">
      <c r="A51" s="1"/>
      <c r="B51" s="57" t="s">
        <v>80</v>
      </c>
      <c r="C51" s="92">
        <v>46154.0</v>
      </c>
      <c r="D51" s="93"/>
      <c r="E51" s="57" t="s">
        <v>95</v>
      </c>
      <c r="F51" s="58" t="s">
        <v>83</v>
      </c>
      <c r="G51" s="59">
        <v>96.99</v>
      </c>
      <c r="H51" s="60"/>
      <c r="I51" s="58"/>
    </row>
    <row r="52" ht="18.0" customHeight="1">
      <c r="A52" s="1"/>
      <c r="B52" s="57" t="s">
        <v>80</v>
      </c>
      <c r="C52" s="92">
        <v>46156.0</v>
      </c>
      <c r="D52" s="93"/>
      <c r="E52" s="57" t="s">
        <v>96</v>
      </c>
      <c r="F52" s="58" t="s">
        <v>84</v>
      </c>
      <c r="G52" s="59">
        <v>65.9</v>
      </c>
      <c r="H52" s="60"/>
      <c r="I52" s="58"/>
    </row>
    <row r="53" ht="18.0" customHeight="1">
      <c r="A53" s="1"/>
      <c r="B53" s="57" t="s">
        <v>80</v>
      </c>
      <c r="C53" s="92">
        <v>46157.0</v>
      </c>
      <c r="D53" s="93"/>
      <c r="E53" s="57" t="s">
        <v>97</v>
      </c>
      <c r="F53" s="58" t="s">
        <v>83</v>
      </c>
      <c r="G53" s="59">
        <v>100.0</v>
      </c>
      <c r="H53" s="60"/>
      <c r="I53" s="58"/>
    </row>
    <row r="54" ht="18.0" customHeight="1">
      <c r="A54" s="1"/>
      <c r="B54" s="57" t="s">
        <v>80</v>
      </c>
      <c r="C54" s="92">
        <v>46162.0</v>
      </c>
      <c r="D54" s="93"/>
      <c r="E54" s="57" t="s">
        <v>98</v>
      </c>
      <c r="F54" s="58" t="s">
        <v>83</v>
      </c>
      <c r="G54" s="59">
        <v>129.0</v>
      </c>
      <c r="H54" s="60"/>
      <c r="I54" s="58"/>
    </row>
    <row r="55" ht="18.0" customHeight="1">
      <c r="A55" s="1"/>
      <c r="B55" s="57" t="s">
        <v>80</v>
      </c>
      <c r="C55" s="92">
        <v>46167.0</v>
      </c>
      <c r="D55" s="93"/>
      <c r="E55" s="58" t="s">
        <v>100</v>
      </c>
      <c r="F55" s="58" t="s">
        <v>83</v>
      </c>
      <c r="G55" s="59">
        <v>400.0</v>
      </c>
      <c r="H55" s="60"/>
      <c r="I55" s="58"/>
    </row>
    <row r="56" ht="18.0" customHeight="1">
      <c r="A56" s="1"/>
      <c r="B56" s="57" t="s">
        <v>80</v>
      </c>
      <c r="C56" s="92">
        <v>46171.0</v>
      </c>
      <c r="D56" s="93"/>
      <c r="E56" s="57" t="s">
        <v>101</v>
      </c>
      <c r="F56" s="58" t="s">
        <v>83</v>
      </c>
      <c r="G56" s="59">
        <v>60.0</v>
      </c>
      <c r="H56" s="60"/>
      <c r="I56" s="58"/>
    </row>
    <row r="57" ht="18.0" customHeight="1">
      <c r="A57" s="1"/>
      <c r="B57" s="57" t="s">
        <v>80</v>
      </c>
      <c r="C57" s="92">
        <v>46172.0</v>
      </c>
      <c r="D57" s="93"/>
      <c r="E57" s="58" t="s">
        <v>102</v>
      </c>
      <c r="F57" s="58" t="s">
        <v>85</v>
      </c>
      <c r="G57" s="59">
        <v>0.0</v>
      </c>
      <c r="H57" s="60"/>
      <c r="I57" s="58"/>
    </row>
    <row r="58" ht="18.0" customHeight="1">
      <c r="A58" s="1"/>
      <c r="B58" s="57" t="s">
        <v>80</v>
      </c>
      <c r="C58" s="92">
        <v>46172.0</v>
      </c>
      <c r="D58" s="93"/>
      <c r="E58" s="58" t="s">
        <v>103</v>
      </c>
      <c r="F58" s="58" t="s">
        <v>85</v>
      </c>
      <c r="G58" s="59">
        <v>0.0</v>
      </c>
      <c r="H58" s="60"/>
      <c r="I58" s="58"/>
    </row>
    <row r="59" ht="18.0" customHeight="1">
      <c r="A59" s="1"/>
      <c r="B59" s="57" t="s">
        <v>80</v>
      </c>
      <c r="C59" s="94"/>
      <c r="D59" s="93"/>
      <c r="E59" s="57" t="s">
        <v>104</v>
      </c>
      <c r="F59" s="58" t="s">
        <v>84</v>
      </c>
      <c r="G59" s="59">
        <v>0.0</v>
      </c>
      <c r="H59" s="60"/>
      <c r="I59" s="58"/>
    </row>
    <row r="60" ht="18.0" customHeight="1">
      <c r="A60" s="1"/>
      <c r="B60" s="57" t="s">
        <v>80</v>
      </c>
      <c r="C60" s="94"/>
      <c r="D60" s="93"/>
      <c r="E60" s="57" t="s">
        <v>105</v>
      </c>
      <c r="F60" s="58" t="s">
        <v>84</v>
      </c>
      <c r="G60" s="59">
        <v>0.0</v>
      </c>
      <c r="H60" s="60"/>
      <c r="I60" s="58"/>
    </row>
    <row r="61" ht="18.0" customHeight="1">
      <c r="A61" s="1"/>
      <c r="B61" s="61"/>
      <c r="C61" s="95"/>
      <c r="D61" s="96"/>
      <c r="E61" s="62"/>
      <c r="F61" s="62"/>
      <c r="G61" s="63"/>
      <c r="H61" s="64"/>
      <c r="I61" s="62"/>
    </row>
    <row r="62" ht="18.0" customHeight="1">
      <c r="A62" s="1"/>
      <c r="B62" s="61"/>
      <c r="C62" s="95"/>
      <c r="D62" s="96"/>
      <c r="E62" s="61"/>
      <c r="F62" s="62"/>
      <c r="G62" s="63"/>
      <c r="H62" s="64"/>
      <c r="I62" s="62"/>
    </row>
    <row r="63" ht="18.0" customHeight="1">
      <c r="A63" s="1"/>
      <c r="B63" s="61"/>
      <c r="C63" s="95"/>
      <c r="D63" s="96"/>
      <c r="E63" s="62"/>
      <c r="F63" s="62"/>
      <c r="G63" s="63"/>
      <c r="H63" s="64"/>
      <c r="I63" s="62"/>
    </row>
    <row r="64" ht="18.0" customHeight="1">
      <c r="A64" s="1"/>
      <c r="B64" s="61"/>
      <c r="C64" s="95"/>
      <c r="D64" s="96"/>
      <c r="E64" s="61"/>
      <c r="F64" s="62"/>
      <c r="G64" s="63"/>
      <c r="H64" s="64"/>
      <c r="I64" s="62"/>
    </row>
    <row r="65" ht="18.0" customHeight="1">
      <c r="A65" s="1"/>
      <c r="B65" s="61"/>
      <c r="C65" s="95"/>
      <c r="D65" s="96"/>
      <c r="E65" s="61"/>
      <c r="F65" s="62"/>
      <c r="G65" s="63"/>
      <c r="H65" s="64"/>
      <c r="I65" s="62"/>
    </row>
    <row r="66" ht="18.0" customHeight="1">
      <c r="A66" s="1"/>
      <c r="B66" s="61"/>
      <c r="C66" s="95"/>
      <c r="D66" s="96"/>
      <c r="E66" s="61"/>
      <c r="F66" s="62"/>
      <c r="G66" s="63"/>
      <c r="H66" s="64"/>
      <c r="I66" s="62"/>
    </row>
    <row r="67" ht="18.0" customHeight="1">
      <c r="A67" s="1"/>
      <c r="B67" s="61"/>
      <c r="C67" s="97"/>
      <c r="D67" s="96"/>
      <c r="E67" s="61"/>
      <c r="F67" s="62"/>
      <c r="G67" s="63"/>
      <c r="H67" s="64"/>
      <c r="I67" s="62"/>
    </row>
    <row r="68" ht="18.0" customHeight="1">
      <c r="A68" s="1"/>
      <c r="B68" s="61"/>
      <c r="C68" s="95"/>
      <c r="D68" s="96"/>
      <c r="E68" s="61"/>
      <c r="F68" s="62"/>
      <c r="G68" s="63"/>
      <c r="H68" s="64"/>
      <c r="I68" s="62"/>
    </row>
    <row r="69" ht="18.0" customHeight="1">
      <c r="A69" s="1"/>
      <c r="B69" s="61"/>
      <c r="C69" s="97"/>
      <c r="D69" s="96"/>
      <c r="E69" s="61"/>
      <c r="F69" s="62"/>
      <c r="G69" s="65"/>
      <c r="H69" s="64"/>
      <c r="I69" s="62"/>
    </row>
    <row r="70" ht="18.0" customHeight="1">
      <c r="A70" s="1"/>
      <c r="B70" s="61"/>
      <c r="C70" s="95"/>
      <c r="D70" s="96"/>
      <c r="E70" s="61"/>
      <c r="F70" s="62"/>
      <c r="G70" s="63"/>
      <c r="H70" s="64"/>
      <c r="I70" s="62"/>
    </row>
    <row r="71" ht="18.0" customHeight="1">
      <c r="A71" s="1"/>
      <c r="B71" s="61"/>
      <c r="C71" s="95"/>
      <c r="D71" s="96"/>
      <c r="E71" s="62"/>
      <c r="F71" s="62"/>
      <c r="G71" s="65"/>
      <c r="H71" s="64"/>
      <c r="I71" s="62"/>
    </row>
    <row r="72" ht="18.0" customHeight="1">
      <c r="A72" s="1"/>
      <c r="B72" s="61"/>
      <c r="C72" s="95"/>
      <c r="D72" s="96"/>
      <c r="E72" s="62"/>
      <c r="F72" s="62"/>
      <c r="G72" s="65"/>
      <c r="H72" s="64"/>
      <c r="I72" s="62"/>
    </row>
    <row r="73" ht="18.0" customHeight="1">
      <c r="A73" s="1"/>
      <c r="B73" s="61"/>
      <c r="C73" s="95"/>
      <c r="D73" s="96"/>
      <c r="E73" s="62"/>
      <c r="F73" s="62"/>
      <c r="G73" s="65"/>
      <c r="H73" s="64"/>
      <c r="I73" s="62"/>
    </row>
    <row r="74" ht="18.0" customHeight="1">
      <c r="A74" s="1"/>
      <c r="B74" s="66"/>
      <c r="C74" s="98"/>
      <c r="D74" s="99"/>
      <c r="E74" s="66"/>
      <c r="F74" s="66"/>
      <c r="G74" s="67"/>
      <c r="H74" s="68"/>
      <c r="I74" s="66"/>
    </row>
    <row r="75" ht="18.0" customHeight="1">
      <c r="A75" s="1"/>
      <c r="B75" s="69"/>
      <c r="C75" s="100"/>
      <c r="D75" s="101"/>
      <c r="E75" s="69"/>
      <c r="F75" s="69"/>
      <c r="G75" s="70"/>
      <c r="H75" s="68"/>
      <c r="I75" s="69"/>
    </row>
    <row r="76" ht="18.0" customHeight="1">
      <c r="A76" s="1"/>
      <c r="B76" s="69"/>
      <c r="C76" s="100"/>
      <c r="D76" s="101"/>
      <c r="E76" s="69"/>
      <c r="F76" s="69"/>
      <c r="G76" s="70"/>
      <c r="H76" s="68"/>
      <c r="I76" s="69"/>
    </row>
    <row r="77" ht="18.0" customHeight="1">
      <c r="A77" s="1"/>
      <c r="B77" s="71"/>
      <c r="C77" s="102"/>
      <c r="D77" s="103"/>
      <c r="E77" s="71"/>
      <c r="F77" s="71"/>
      <c r="G77" s="72"/>
      <c r="H77" s="68"/>
      <c r="I77" s="71"/>
    </row>
    <row r="78" ht="18.0" customHeight="1">
      <c r="A78" s="1"/>
      <c r="B78" s="10"/>
      <c r="C78" s="104"/>
      <c r="D78" s="105"/>
      <c r="E78" s="10"/>
      <c r="F78" s="10"/>
      <c r="G78" s="11"/>
      <c r="H78" s="68"/>
      <c r="I78" s="10"/>
    </row>
    <row r="79" ht="18.0" customHeight="1">
      <c r="A79" s="1"/>
      <c r="B79" s="10"/>
      <c r="C79" s="104"/>
      <c r="D79" s="105"/>
      <c r="E79" s="10"/>
      <c r="F79" s="10"/>
      <c r="G79" s="11"/>
      <c r="H79" s="68"/>
      <c r="I79" s="10"/>
    </row>
    <row r="80" ht="18.0" customHeight="1">
      <c r="A80" s="1"/>
      <c r="B80" s="10"/>
      <c r="C80" s="104"/>
      <c r="D80" s="105"/>
      <c r="E80" s="10"/>
      <c r="F80" s="10"/>
      <c r="G80" s="11"/>
      <c r="H80" s="68"/>
      <c r="I80" s="10"/>
    </row>
    <row r="81" ht="18.0" customHeight="1">
      <c r="A81" s="1"/>
      <c r="B81" s="10"/>
      <c r="C81" s="104"/>
      <c r="D81" s="105"/>
      <c r="E81" s="10"/>
      <c r="F81" s="10"/>
      <c r="G81" s="11"/>
      <c r="H81" s="68"/>
      <c r="I81" s="10"/>
    </row>
    <row r="82" ht="18.0" customHeight="1">
      <c r="A82" s="1"/>
      <c r="B82" s="10"/>
      <c r="C82" s="104"/>
      <c r="D82" s="105"/>
      <c r="E82" s="10"/>
      <c r="F82" s="10"/>
      <c r="G82" s="11"/>
      <c r="H82" s="68"/>
      <c r="I82" s="10"/>
    </row>
    <row r="83" ht="18.0" customHeight="1">
      <c r="A83" s="1"/>
      <c r="B83" s="66"/>
      <c r="C83" s="98"/>
      <c r="D83" s="99"/>
      <c r="E83" s="66"/>
      <c r="F83" s="66"/>
      <c r="G83" s="67"/>
      <c r="H83" s="68"/>
      <c r="I83" s="66"/>
    </row>
    <row r="84" ht="18.0" customHeight="1">
      <c r="A84" s="1"/>
      <c r="B84" s="66"/>
      <c r="C84" s="98"/>
      <c r="D84" s="99"/>
      <c r="E84" s="66"/>
      <c r="F84" s="66"/>
      <c r="G84" s="67"/>
      <c r="H84" s="68"/>
      <c r="I84" s="66"/>
    </row>
    <row r="85" ht="18.0" customHeight="1">
      <c r="A85" s="1"/>
      <c r="B85" s="69"/>
      <c r="C85" s="100"/>
      <c r="D85" s="101"/>
      <c r="E85" s="69"/>
      <c r="F85" s="69"/>
      <c r="G85" s="70"/>
      <c r="H85" s="68"/>
      <c r="I85" s="69"/>
    </row>
    <row r="86" ht="18.0" customHeight="1">
      <c r="A86" s="1"/>
      <c r="B86" s="69"/>
      <c r="C86" s="100"/>
      <c r="D86" s="101"/>
      <c r="E86" s="69"/>
      <c r="F86" s="69"/>
      <c r="G86" s="70"/>
      <c r="H86" s="68"/>
      <c r="I86" s="69"/>
    </row>
    <row r="87" ht="18.0" customHeight="1">
      <c r="A87" s="1"/>
      <c r="B87" s="71"/>
      <c r="C87" s="102"/>
      <c r="D87" s="103"/>
      <c r="E87" s="71"/>
      <c r="F87" s="71"/>
      <c r="G87" s="72"/>
      <c r="H87" s="68"/>
      <c r="I87" s="71"/>
    </row>
    <row r="88" ht="18.0" customHeight="1">
      <c r="A88" s="1"/>
      <c r="B88" s="10"/>
      <c r="C88" s="104"/>
      <c r="D88" s="105"/>
      <c r="E88" s="10"/>
      <c r="F88" s="10"/>
      <c r="G88" s="11"/>
      <c r="H88" s="68"/>
      <c r="I88" s="10"/>
    </row>
    <row r="89" ht="18.0" customHeight="1">
      <c r="A89" s="1"/>
      <c r="B89" s="10"/>
      <c r="C89" s="104"/>
      <c r="D89" s="105"/>
      <c r="E89" s="10"/>
      <c r="F89" s="10"/>
      <c r="G89" s="11"/>
      <c r="H89" s="68"/>
      <c r="I89" s="10"/>
    </row>
    <row r="90" ht="18.0" customHeight="1">
      <c r="A90" s="1"/>
      <c r="B90" s="10"/>
      <c r="C90" s="104"/>
      <c r="D90" s="105"/>
      <c r="E90" s="10"/>
      <c r="F90" s="10"/>
      <c r="G90" s="11"/>
      <c r="H90" s="68"/>
      <c r="I90" s="10"/>
    </row>
    <row r="91" ht="18.0" customHeight="1">
      <c r="A91" s="1"/>
      <c r="B91" s="10"/>
      <c r="C91" s="104"/>
      <c r="D91" s="105"/>
      <c r="E91" s="10"/>
      <c r="F91" s="10"/>
      <c r="G91" s="11"/>
      <c r="H91" s="68"/>
      <c r="I91" s="10"/>
    </row>
    <row r="92" ht="18.0" customHeight="1">
      <c r="A92" s="1"/>
      <c r="B92" s="10"/>
      <c r="C92" s="104"/>
      <c r="D92" s="105"/>
      <c r="E92" s="10"/>
      <c r="F92" s="10"/>
      <c r="G92" s="11"/>
      <c r="H92" s="68"/>
      <c r="I92" s="10"/>
    </row>
    <row r="93" ht="18.0" customHeight="1">
      <c r="A93" s="1"/>
      <c r="B93" s="66"/>
      <c r="C93" s="98"/>
      <c r="D93" s="99"/>
      <c r="E93" s="66"/>
      <c r="F93" s="66"/>
      <c r="G93" s="67"/>
      <c r="H93" s="68"/>
      <c r="I93" s="66"/>
    </row>
    <row r="94" ht="18.0" customHeight="1">
      <c r="A94" s="1"/>
      <c r="B94" s="66"/>
      <c r="C94" s="98"/>
      <c r="D94" s="99"/>
      <c r="E94" s="66"/>
      <c r="F94" s="66"/>
      <c r="G94" s="67"/>
      <c r="H94" s="68"/>
      <c r="I94" s="66"/>
    </row>
    <row r="95" ht="18.0" customHeight="1">
      <c r="A95" s="1"/>
      <c r="B95" s="69"/>
      <c r="C95" s="100"/>
      <c r="D95" s="101"/>
      <c r="E95" s="69"/>
      <c r="F95" s="69"/>
      <c r="G95" s="70"/>
      <c r="H95" s="68"/>
      <c r="I95" s="69"/>
    </row>
    <row r="96" ht="18.0" customHeight="1">
      <c r="A96" s="1"/>
      <c r="B96" s="69"/>
      <c r="C96" s="100"/>
      <c r="D96" s="101"/>
      <c r="E96" s="69"/>
      <c r="F96" s="69"/>
      <c r="G96" s="70"/>
      <c r="H96" s="68"/>
      <c r="I96" s="69"/>
    </row>
    <row r="97" ht="18.0" customHeight="1">
      <c r="A97" s="1"/>
      <c r="B97" s="71"/>
      <c r="C97" s="102"/>
      <c r="D97" s="103"/>
      <c r="E97" s="71"/>
      <c r="F97" s="71"/>
      <c r="G97" s="72"/>
      <c r="H97" s="68"/>
      <c r="I97" s="71"/>
    </row>
    <row r="98" ht="18.0" customHeight="1">
      <c r="A98" s="1"/>
      <c r="B98" s="10"/>
      <c r="C98" s="104"/>
      <c r="D98" s="105"/>
      <c r="E98" s="10"/>
      <c r="F98" s="10"/>
      <c r="G98" s="11"/>
      <c r="H98" s="68"/>
      <c r="I98" s="10"/>
    </row>
    <row r="99" ht="18.0" customHeight="1">
      <c r="A99" s="1"/>
      <c r="B99" s="10"/>
      <c r="C99" s="104"/>
      <c r="D99" s="105"/>
      <c r="E99" s="10"/>
      <c r="F99" s="10"/>
      <c r="G99" s="11"/>
      <c r="H99" s="68"/>
      <c r="I99" s="10"/>
    </row>
    <row r="100" ht="18.0" customHeight="1">
      <c r="A100" s="1"/>
      <c r="B100" s="10"/>
      <c r="C100" s="104"/>
      <c r="D100" s="105"/>
      <c r="E100" s="10"/>
      <c r="F100" s="10"/>
      <c r="G100" s="11"/>
      <c r="H100" s="68"/>
      <c r="I100" s="10"/>
    </row>
    <row r="101" ht="18.0" customHeight="1">
      <c r="A101" s="1"/>
      <c r="B101" s="10"/>
      <c r="C101" s="104"/>
      <c r="D101" s="105"/>
      <c r="E101" s="10"/>
      <c r="F101" s="10"/>
      <c r="G101" s="11"/>
      <c r="H101" s="68"/>
      <c r="I101" s="10"/>
    </row>
    <row r="102" ht="18.0" customHeight="1">
      <c r="A102" s="1"/>
      <c r="B102" s="10"/>
      <c r="C102" s="104"/>
      <c r="D102" s="105"/>
      <c r="E102" s="10"/>
      <c r="F102" s="10"/>
      <c r="G102" s="11"/>
      <c r="H102" s="68"/>
      <c r="I102" s="10"/>
    </row>
    <row r="103" ht="18.0" customHeight="1">
      <c r="A103" s="1"/>
      <c r="B103" s="66"/>
      <c r="C103" s="98"/>
      <c r="D103" s="99"/>
      <c r="E103" s="66"/>
      <c r="F103" s="66"/>
      <c r="G103" s="67"/>
      <c r="H103" s="68"/>
      <c r="I103" s="66"/>
    </row>
    <row r="104" ht="18.0" customHeight="1">
      <c r="A104" s="1"/>
      <c r="B104" s="66"/>
      <c r="C104" s="98"/>
      <c r="D104" s="99"/>
      <c r="E104" s="66"/>
      <c r="F104" s="66"/>
      <c r="G104" s="67"/>
      <c r="H104" s="68"/>
      <c r="I104" s="66"/>
    </row>
    <row r="105" ht="18.0" customHeight="1">
      <c r="A105" s="1"/>
      <c r="B105" s="69"/>
      <c r="C105" s="100"/>
      <c r="D105" s="101"/>
      <c r="E105" s="69"/>
      <c r="F105" s="69"/>
      <c r="G105" s="70"/>
      <c r="H105" s="68"/>
      <c r="I105" s="69"/>
    </row>
    <row r="106" ht="18.0" customHeight="1">
      <c r="A106" s="1"/>
      <c r="B106" s="69"/>
      <c r="C106" s="100"/>
      <c r="D106" s="101"/>
      <c r="E106" s="69"/>
      <c r="F106" s="69"/>
      <c r="G106" s="70"/>
      <c r="H106" s="68"/>
      <c r="I106" s="69"/>
    </row>
    <row r="107" ht="18.0" customHeight="1">
      <c r="A107" s="1"/>
      <c r="B107" s="71"/>
      <c r="C107" s="102"/>
      <c r="D107" s="103"/>
      <c r="E107" s="71"/>
      <c r="F107" s="71"/>
      <c r="G107" s="72"/>
      <c r="H107" s="68"/>
      <c r="I107" s="71"/>
    </row>
    <row r="108" ht="18.0" customHeight="1">
      <c r="A108" s="1"/>
      <c r="B108" s="10"/>
      <c r="C108" s="104"/>
      <c r="D108" s="105"/>
      <c r="E108" s="10"/>
      <c r="F108" s="10"/>
      <c r="G108" s="11"/>
      <c r="H108" s="68"/>
      <c r="I108" s="10"/>
    </row>
    <row r="109" ht="18.0" customHeight="1">
      <c r="A109" s="1"/>
      <c r="B109" s="10"/>
      <c r="C109" s="104"/>
      <c r="D109" s="105"/>
      <c r="E109" s="10"/>
      <c r="F109" s="10"/>
      <c r="G109" s="11"/>
      <c r="H109" s="68"/>
      <c r="I109" s="10"/>
    </row>
    <row r="110" ht="18.0" customHeight="1">
      <c r="A110" s="1"/>
      <c r="B110" s="10"/>
      <c r="C110" s="104"/>
      <c r="D110" s="105"/>
      <c r="E110" s="10"/>
      <c r="F110" s="10"/>
      <c r="G110" s="11"/>
      <c r="H110" s="68"/>
      <c r="I110" s="10"/>
    </row>
    <row r="111" ht="18.0" customHeight="1">
      <c r="A111" s="1"/>
      <c r="B111" s="10"/>
      <c r="C111" s="104"/>
      <c r="D111" s="105"/>
      <c r="E111" s="10"/>
      <c r="F111" s="10"/>
      <c r="G111" s="11"/>
      <c r="H111" s="68"/>
      <c r="I111" s="10"/>
    </row>
    <row r="112" ht="18.0" customHeight="1">
      <c r="A112" s="1"/>
      <c r="B112" s="10"/>
      <c r="C112" s="104"/>
      <c r="D112" s="105"/>
      <c r="E112" s="10"/>
      <c r="F112" s="10"/>
      <c r="G112" s="11"/>
      <c r="H112" s="68"/>
      <c r="I112" s="10"/>
    </row>
    <row r="113" ht="18.0" customHeight="1">
      <c r="A113" s="1"/>
      <c r="B113" s="66"/>
      <c r="C113" s="98"/>
      <c r="D113" s="99"/>
      <c r="E113" s="66"/>
      <c r="F113" s="66"/>
      <c r="G113" s="67"/>
      <c r="H113" s="68"/>
      <c r="I113" s="66"/>
    </row>
    <row r="114" ht="18.0" customHeight="1">
      <c r="A114" s="1"/>
      <c r="B114" s="66"/>
      <c r="C114" s="98"/>
      <c r="D114" s="99"/>
      <c r="E114" s="66"/>
      <c r="F114" s="66"/>
      <c r="G114" s="67"/>
      <c r="H114" s="68"/>
      <c r="I114" s="66"/>
    </row>
    <row r="115" ht="18.0" customHeight="1">
      <c r="A115" s="1"/>
      <c r="B115" s="69"/>
      <c r="C115" s="100"/>
      <c r="D115" s="101"/>
      <c r="E115" s="69"/>
      <c r="F115" s="69"/>
      <c r="G115" s="70"/>
      <c r="H115" s="68"/>
      <c r="I115" s="69"/>
    </row>
    <row r="116" ht="18.0" customHeight="1">
      <c r="A116" s="1"/>
      <c r="B116" s="69"/>
      <c r="C116" s="100"/>
      <c r="D116" s="101"/>
      <c r="E116" s="69"/>
      <c r="F116" s="69"/>
      <c r="G116" s="70"/>
      <c r="H116" s="68"/>
      <c r="I116" s="69"/>
    </row>
    <row r="117" ht="18.0" customHeight="1">
      <c r="A117" s="1"/>
      <c r="B117" s="71"/>
      <c r="C117" s="102"/>
      <c r="D117" s="103"/>
      <c r="E117" s="71"/>
      <c r="F117" s="71"/>
      <c r="G117" s="72"/>
      <c r="H117" s="68"/>
      <c r="I117" s="71"/>
    </row>
    <row r="118" ht="18.0" customHeight="1">
      <c r="A118" s="1"/>
      <c r="B118" s="10"/>
      <c r="C118" s="104"/>
      <c r="D118" s="105"/>
      <c r="E118" s="10"/>
      <c r="F118" s="10"/>
      <c r="G118" s="11"/>
      <c r="H118" s="68"/>
      <c r="I118" s="10"/>
    </row>
    <row r="119" ht="18.0" customHeight="1">
      <c r="A119" s="1"/>
      <c r="B119" s="10"/>
      <c r="C119" s="104"/>
      <c r="D119" s="105"/>
      <c r="E119" s="10"/>
      <c r="F119" s="10"/>
      <c r="G119" s="11"/>
      <c r="H119" s="68"/>
      <c r="I119" s="10"/>
    </row>
    <row r="120" ht="18.0" customHeight="1">
      <c r="A120" s="1"/>
      <c r="B120" s="10"/>
      <c r="C120" s="104"/>
      <c r="D120" s="105"/>
      <c r="E120" s="10"/>
      <c r="F120" s="10"/>
      <c r="G120" s="11"/>
      <c r="H120" s="68"/>
      <c r="I120" s="10"/>
    </row>
    <row r="121" ht="18.0" customHeight="1">
      <c r="A121" s="1"/>
      <c r="B121" s="10"/>
      <c r="C121" s="104"/>
      <c r="D121" s="105"/>
      <c r="E121" s="10"/>
      <c r="F121" s="10"/>
      <c r="G121" s="11"/>
      <c r="H121" s="68"/>
      <c r="I121" s="10"/>
    </row>
    <row r="122" ht="18.0" customHeight="1">
      <c r="A122" s="1"/>
      <c r="B122" s="10"/>
      <c r="C122" s="104"/>
      <c r="D122" s="105"/>
      <c r="E122" s="10"/>
      <c r="F122" s="10"/>
      <c r="G122" s="11"/>
      <c r="H122" s="68"/>
      <c r="I122" s="10"/>
    </row>
    <row r="123" ht="18.0" customHeight="1">
      <c r="A123" s="1"/>
      <c r="B123" s="66"/>
      <c r="C123" s="98"/>
      <c r="D123" s="99"/>
      <c r="E123" s="66"/>
      <c r="F123" s="66"/>
      <c r="G123" s="67"/>
      <c r="H123" s="68"/>
      <c r="I123" s="66"/>
    </row>
    <row r="124" ht="18.0" customHeight="1">
      <c r="A124" s="1"/>
      <c r="B124" s="66"/>
      <c r="C124" s="98"/>
      <c r="D124" s="99"/>
      <c r="E124" s="66"/>
      <c r="F124" s="66"/>
      <c r="G124" s="67"/>
      <c r="H124" s="68"/>
      <c r="I124" s="66"/>
    </row>
    <row r="125" ht="18.0" customHeight="1">
      <c r="A125" s="1"/>
      <c r="B125" s="69"/>
      <c r="C125" s="100"/>
      <c r="D125" s="101"/>
      <c r="E125" s="69"/>
      <c r="F125" s="69"/>
      <c r="G125" s="70"/>
      <c r="H125" s="68"/>
      <c r="I125" s="69"/>
    </row>
    <row r="126" ht="18.0" customHeight="1">
      <c r="A126" s="1"/>
      <c r="B126" s="69"/>
      <c r="C126" s="100"/>
      <c r="D126" s="101"/>
      <c r="E126" s="69"/>
      <c r="F126" s="69"/>
      <c r="G126" s="70"/>
      <c r="H126" s="68"/>
      <c r="I126" s="69"/>
    </row>
    <row r="127" ht="18.0" customHeight="1">
      <c r="A127" s="1"/>
      <c r="B127" s="71"/>
      <c r="C127" s="102"/>
      <c r="D127" s="103"/>
      <c r="E127" s="71"/>
      <c r="F127" s="71"/>
      <c r="G127" s="72"/>
      <c r="H127" s="68"/>
      <c r="I127" s="71"/>
    </row>
    <row r="128" ht="18.0" customHeight="1">
      <c r="A128" s="1"/>
      <c r="B128" s="10"/>
      <c r="C128" s="104"/>
      <c r="D128" s="105"/>
      <c r="E128" s="10"/>
      <c r="F128" s="10"/>
      <c r="G128" s="11"/>
      <c r="H128" s="68"/>
      <c r="I128" s="10"/>
    </row>
    <row r="129" ht="18.0" customHeight="1">
      <c r="A129" s="1"/>
      <c r="B129" s="10"/>
      <c r="C129" s="104"/>
      <c r="D129" s="105"/>
      <c r="E129" s="10"/>
      <c r="F129" s="10"/>
      <c r="G129" s="11"/>
      <c r="H129" s="68"/>
      <c r="I129" s="10"/>
    </row>
    <row r="130" ht="18.0" customHeight="1">
      <c r="A130" s="1"/>
      <c r="B130" s="10"/>
      <c r="C130" s="104"/>
      <c r="D130" s="105"/>
      <c r="E130" s="10"/>
      <c r="F130" s="10"/>
      <c r="G130" s="11"/>
      <c r="H130" s="68"/>
      <c r="I130" s="10"/>
    </row>
    <row r="131" ht="18.0" customHeight="1">
      <c r="A131" s="1"/>
      <c r="B131" s="10"/>
      <c r="C131" s="104"/>
      <c r="D131" s="105"/>
      <c r="E131" s="10"/>
      <c r="F131" s="10"/>
      <c r="G131" s="11"/>
      <c r="H131" s="68"/>
      <c r="I131" s="10"/>
    </row>
    <row r="132" ht="18.0" customHeight="1">
      <c r="A132" s="1"/>
      <c r="B132" s="10"/>
      <c r="C132" s="104"/>
      <c r="D132" s="105"/>
      <c r="E132" s="10"/>
      <c r="F132" s="10"/>
      <c r="G132" s="11"/>
      <c r="H132" s="68"/>
      <c r="I132" s="10"/>
    </row>
    <row r="133" ht="18.0" customHeight="1">
      <c r="A133" s="1"/>
      <c r="B133" s="66"/>
      <c r="C133" s="98"/>
      <c r="D133" s="99"/>
      <c r="E133" s="66"/>
      <c r="F133" s="66"/>
      <c r="G133" s="67"/>
      <c r="H133" s="68"/>
      <c r="I133" s="66"/>
    </row>
    <row r="134" ht="18.0" customHeight="1">
      <c r="A134" s="1"/>
      <c r="B134" s="66"/>
      <c r="C134" s="98"/>
      <c r="D134" s="99"/>
      <c r="E134" s="66"/>
      <c r="F134" s="66"/>
      <c r="G134" s="67"/>
      <c r="H134" s="68"/>
      <c r="I134" s="66"/>
    </row>
    <row r="135" ht="18.0" customHeight="1">
      <c r="A135" s="1"/>
      <c r="B135" s="69"/>
      <c r="C135" s="100"/>
      <c r="D135" s="101"/>
      <c r="E135" s="69"/>
      <c r="F135" s="69"/>
      <c r="G135" s="70"/>
      <c r="H135" s="68"/>
      <c r="I135" s="69"/>
    </row>
    <row r="136" ht="18.0" customHeight="1">
      <c r="A136" s="1"/>
      <c r="B136" s="69"/>
      <c r="C136" s="100"/>
      <c r="D136" s="101"/>
      <c r="E136" s="69"/>
      <c r="F136" s="69"/>
      <c r="G136" s="70"/>
      <c r="H136" s="68"/>
      <c r="I136" s="69"/>
    </row>
    <row r="137" ht="18.0" customHeight="1">
      <c r="A137" s="1"/>
      <c r="B137" s="71"/>
      <c r="C137" s="102"/>
      <c r="D137" s="103"/>
      <c r="E137" s="71"/>
      <c r="F137" s="71"/>
      <c r="G137" s="72"/>
      <c r="H137" s="68"/>
      <c r="I137" s="71"/>
    </row>
    <row r="138" ht="18.0" customHeight="1">
      <c r="A138" s="1"/>
      <c r="B138" s="10"/>
      <c r="C138" s="104"/>
      <c r="D138" s="105"/>
      <c r="E138" s="10"/>
      <c r="F138" s="10"/>
      <c r="G138" s="11"/>
      <c r="H138" s="68"/>
      <c r="I138" s="10"/>
    </row>
    <row r="139" ht="18.0" customHeight="1">
      <c r="A139" s="1"/>
      <c r="B139" s="10"/>
      <c r="C139" s="104"/>
      <c r="D139" s="105"/>
      <c r="E139" s="10"/>
      <c r="F139" s="10"/>
      <c r="G139" s="11"/>
      <c r="H139" s="68"/>
      <c r="I139" s="10"/>
    </row>
    <row r="140" ht="18.0" customHeight="1">
      <c r="A140" s="1"/>
      <c r="B140" s="10"/>
      <c r="C140" s="104"/>
      <c r="D140" s="105"/>
      <c r="E140" s="10"/>
      <c r="F140" s="10"/>
      <c r="G140" s="11"/>
      <c r="H140" s="68"/>
      <c r="I140" s="10"/>
    </row>
    <row r="141" ht="18.0" customHeight="1">
      <c r="A141" s="1"/>
      <c r="B141" s="10"/>
      <c r="C141" s="104"/>
      <c r="D141" s="105"/>
      <c r="E141" s="10"/>
      <c r="F141" s="10"/>
      <c r="G141" s="11"/>
      <c r="H141" s="68"/>
      <c r="I141" s="10"/>
    </row>
    <row r="142" ht="18.0" customHeight="1">
      <c r="A142" s="1"/>
      <c r="B142" s="10"/>
      <c r="C142" s="104"/>
      <c r="D142" s="105"/>
      <c r="E142" s="10"/>
      <c r="F142" s="10"/>
      <c r="G142" s="11"/>
      <c r="H142" s="68"/>
      <c r="I142" s="10"/>
    </row>
    <row r="143" ht="18.0" customHeight="1">
      <c r="A143" s="1"/>
      <c r="B143" s="66"/>
      <c r="C143" s="98"/>
      <c r="D143" s="99"/>
      <c r="E143" s="66"/>
      <c r="F143" s="66"/>
      <c r="G143" s="67"/>
      <c r="H143" s="68"/>
      <c r="I143" s="66"/>
    </row>
    <row r="144" ht="18.0" customHeight="1">
      <c r="A144" s="1"/>
      <c r="B144" s="66"/>
      <c r="C144" s="98"/>
      <c r="D144" s="99"/>
      <c r="E144" s="66"/>
      <c r="F144" s="66"/>
      <c r="G144" s="67"/>
      <c r="H144" s="68"/>
      <c r="I144" s="66"/>
    </row>
    <row r="145" ht="18.0" customHeight="1">
      <c r="A145" s="1"/>
      <c r="B145" s="69"/>
      <c r="C145" s="100"/>
      <c r="D145" s="101"/>
      <c r="E145" s="69"/>
      <c r="F145" s="69"/>
      <c r="G145" s="70"/>
      <c r="H145" s="68"/>
      <c r="I145" s="69"/>
    </row>
    <row r="146" ht="18.0" customHeight="1">
      <c r="A146" s="1"/>
      <c r="B146" s="69"/>
      <c r="C146" s="100"/>
      <c r="D146" s="101"/>
      <c r="E146" s="69"/>
      <c r="F146" s="69"/>
      <c r="G146" s="70"/>
      <c r="H146" s="68"/>
      <c r="I146" s="69"/>
    </row>
    <row r="147" ht="18.0" customHeight="1">
      <c r="A147" s="1"/>
      <c r="B147" s="71"/>
      <c r="C147" s="102"/>
      <c r="D147" s="103"/>
      <c r="E147" s="71"/>
      <c r="F147" s="71"/>
      <c r="G147" s="72"/>
      <c r="H147" s="68"/>
      <c r="I147" s="71"/>
    </row>
    <row r="148" ht="18.0" customHeight="1">
      <c r="A148" s="1"/>
      <c r="B148" s="10"/>
      <c r="C148" s="104"/>
      <c r="D148" s="105"/>
      <c r="E148" s="10"/>
      <c r="F148" s="10"/>
      <c r="G148" s="11"/>
      <c r="H148" s="68"/>
      <c r="I148" s="10"/>
    </row>
    <row r="149" ht="18.0" customHeight="1">
      <c r="A149" s="1"/>
      <c r="B149" s="10"/>
      <c r="C149" s="104"/>
      <c r="D149" s="105"/>
      <c r="E149" s="10"/>
      <c r="F149" s="10"/>
      <c r="G149" s="11"/>
      <c r="H149" s="68"/>
      <c r="I149" s="10"/>
    </row>
    <row r="150" ht="18.0" customHeight="1">
      <c r="A150" s="1"/>
      <c r="B150" s="10"/>
      <c r="C150" s="104"/>
      <c r="D150" s="105"/>
      <c r="E150" s="10"/>
      <c r="F150" s="10"/>
      <c r="G150" s="11"/>
      <c r="H150" s="68"/>
      <c r="I150" s="10"/>
    </row>
    <row r="151" ht="18.0" customHeight="1">
      <c r="A151" s="1"/>
      <c r="B151" s="10"/>
      <c r="C151" s="104"/>
      <c r="D151" s="105"/>
      <c r="E151" s="10"/>
      <c r="F151" s="10"/>
      <c r="G151" s="11"/>
      <c r="H151" s="68"/>
      <c r="I151" s="10"/>
    </row>
    <row r="152" ht="18.0" customHeight="1">
      <c r="A152" s="1"/>
      <c r="B152" s="10"/>
      <c r="C152" s="104"/>
      <c r="D152" s="105"/>
      <c r="E152" s="10"/>
      <c r="F152" s="10"/>
      <c r="G152" s="11"/>
      <c r="H152" s="68"/>
      <c r="I152" s="10"/>
    </row>
    <row r="153" ht="18.0" customHeight="1">
      <c r="A153" s="1"/>
      <c r="B153" s="66"/>
      <c r="C153" s="98"/>
      <c r="D153" s="99"/>
      <c r="E153" s="66"/>
      <c r="F153" s="66"/>
      <c r="G153" s="67"/>
      <c r="H153" s="68"/>
      <c r="I153" s="66"/>
    </row>
    <row r="154" ht="18.0" customHeight="1">
      <c r="A154" s="1"/>
      <c r="B154" s="66"/>
      <c r="C154" s="98"/>
      <c r="D154" s="99"/>
      <c r="E154" s="66"/>
      <c r="F154" s="66"/>
      <c r="G154" s="67"/>
      <c r="H154" s="68"/>
      <c r="I154" s="66"/>
    </row>
    <row r="155" ht="18.0" customHeight="1">
      <c r="A155" s="1"/>
      <c r="B155" s="69"/>
      <c r="C155" s="100"/>
      <c r="D155" s="101"/>
      <c r="E155" s="69"/>
      <c r="F155" s="69"/>
      <c r="G155" s="70"/>
      <c r="H155" s="68"/>
      <c r="I155" s="69"/>
    </row>
    <row r="156" ht="18.0" customHeight="1">
      <c r="A156" s="1"/>
      <c r="B156" s="69"/>
      <c r="C156" s="100"/>
      <c r="D156" s="101"/>
      <c r="E156" s="69"/>
      <c r="F156" s="69"/>
      <c r="G156" s="70"/>
      <c r="H156" s="68"/>
      <c r="I156" s="69"/>
      <c r="K156" s="73" t="s">
        <v>81</v>
      </c>
    </row>
    <row r="157" ht="18.0" customHeight="1">
      <c r="A157" s="1"/>
      <c r="B157" s="71"/>
      <c r="C157" s="102"/>
      <c r="D157" s="103"/>
      <c r="E157" s="71"/>
      <c r="F157" s="71"/>
      <c r="G157" s="72"/>
      <c r="H157" s="68"/>
      <c r="I157" s="71"/>
    </row>
    <row r="158" ht="15.75" customHeight="1">
      <c r="A158" s="1"/>
      <c r="B158" s="1"/>
      <c r="C158" s="85"/>
      <c r="D158" s="1"/>
      <c r="E158" s="1"/>
      <c r="F158" s="1"/>
      <c r="G158" s="1"/>
      <c r="H158" s="1"/>
      <c r="I158" s="1"/>
    </row>
    <row r="159" ht="13.5" customHeight="1">
      <c r="A159" s="1"/>
      <c r="B159" s="8" t="s">
        <v>82</v>
      </c>
      <c r="C159" s="3"/>
      <c r="D159" s="3"/>
      <c r="E159" s="3"/>
      <c r="F159" s="3"/>
      <c r="G159" s="3"/>
      <c r="H159" s="3"/>
      <c r="I159" s="4"/>
    </row>
    <row r="160" ht="19.5" customHeight="1">
      <c r="A160" s="1"/>
      <c r="B160" s="74" t="s">
        <v>83</v>
      </c>
      <c r="C160" s="106"/>
      <c r="D160" s="75"/>
      <c r="E160" s="75"/>
      <c r="F160" s="75"/>
      <c r="G160" s="12">
        <f>SUMIF(F37:F157,"Custos Fixos",G37:G157)</f>
        <v>4091.98</v>
      </c>
      <c r="H160" s="75"/>
      <c r="I160" s="75"/>
    </row>
    <row r="161" ht="19.5" customHeight="1">
      <c r="A161" s="1"/>
      <c r="B161" s="76" t="s">
        <v>84</v>
      </c>
      <c r="C161" s="107"/>
      <c r="D161" s="77"/>
      <c r="E161" s="77"/>
      <c r="F161" s="77"/>
      <c r="G161" s="12">
        <f>SUMIF(F37:F157,"Custos Variáveis",G37:G157)</f>
        <v>131.8</v>
      </c>
      <c r="H161" s="77"/>
      <c r="I161" s="77"/>
    </row>
    <row r="162" ht="19.5" customHeight="1">
      <c r="A162" s="1"/>
      <c r="B162" s="78" t="s">
        <v>85</v>
      </c>
      <c r="C162" s="108"/>
      <c r="D162" s="79"/>
      <c r="E162" s="79"/>
      <c r="F162" s="79"/>
      <c r="G162" s="12">
        <f>SUMIF(F37:F157,"Impostos e Taxas",G37:G157)</f>
        <v>0</v>
      </c>
      <c r="H162" s="79"/>
      <c r="I162" s="79"/>
    </row>
    <row r="163" ht="19.5" customHeight="1">
      <c r="A163" s="1"/>
      <c r="B163" s="80" t="s">
        <v>86</v>
      </c>
      <c r="C163" s="109"/>
      <c r="D163" s="81"/>
      <c r="E163" s="81"/>
      <c r="F163" s="81"/>
      <c r="G163" s="12">
        <f>SUMIF(F37:F157,"Pró-labore / Retirada",G37:G157)</f>
        <v>0</v>
      </c>
      <c r="H163" s="81"/>
      <c r="I163" s="81"/>
    </row>
    <row r="164" ht="21.75" customHeight="1">
      <c r="A164" s="1"/>
      <c r="B164" s="82" t="s">
        <v>87</v>
      </c>
      <c r="C164" s="3"/>
      <c r="D164" s="3"/>
      <c r="E164" s="3"/>
      <c r="F164" s="4"/>
      <c r="G164" s="83">
        <f>SUM(G160:G163)</f>
        <v>4223.78</v>
      </c>
      <c r="H164" s="84"/>
      <c r="I164" s="84"/>
    </row>
    <row r="165" ht="15.75" customHeight="1">
      <c r="A165" s="1"/>
      <c r="B165" s="1"/>
      <c r="C165" s="85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85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85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85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85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85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85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85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85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85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85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85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85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85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85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85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85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85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85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85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85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85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85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85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85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85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85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85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85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85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85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85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85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85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85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85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85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85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85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85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85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85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85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85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85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85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85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85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85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85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85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85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85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85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85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85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85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85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85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85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85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85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85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85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85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85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85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85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85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85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85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85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85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85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85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85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85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85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85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85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85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85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85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85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85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85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85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85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85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85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85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85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85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85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85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85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85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85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85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85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85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85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85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85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85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85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85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85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85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85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85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85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85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85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85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85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85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85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85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85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85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85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85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85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85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85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85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85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85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85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85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85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85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85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85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85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85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85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85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85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85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85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85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85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85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85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85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85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85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85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85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85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85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85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85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85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85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85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85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85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85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85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85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85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85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85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85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85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85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85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85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85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85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85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85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85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85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85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85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85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85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85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85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85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85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85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85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85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85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85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85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85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85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85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85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85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85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85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85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85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85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85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85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85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85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85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85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85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85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85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85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85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85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85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85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85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85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85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85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85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85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85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85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85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85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85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85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85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85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85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85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85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85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85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85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85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85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85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85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85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85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85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85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85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85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85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85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85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85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85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85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85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85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85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85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85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85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85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85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85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85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85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85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85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85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85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85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85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85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85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85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85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85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85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85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85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85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85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85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85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85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85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85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85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85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85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85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85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85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85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85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85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85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85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85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85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85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85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85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85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85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85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85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85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85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85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85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85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85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85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85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85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85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85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85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85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85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85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85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85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85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85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85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85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85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85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85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85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85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85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85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85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85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85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85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85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85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85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85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85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85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85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85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85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85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85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85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85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85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85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85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85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85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85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85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85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85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85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85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85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85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85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85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85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85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85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85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85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85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85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85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85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85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85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85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85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85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85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85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85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85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85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85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85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85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85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85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85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85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85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85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85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85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85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85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85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85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85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85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85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85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85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85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85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85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85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85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85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85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85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85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85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85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85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85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85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85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85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85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85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85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85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85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85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85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85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85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85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85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85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85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85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85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85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85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85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85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85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85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85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85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85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85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85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85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85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85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85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85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85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85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85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85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85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85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85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85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85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85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85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85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85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85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85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85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85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85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85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85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85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85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85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85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85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85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85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85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85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85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85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85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85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85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85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85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85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85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85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85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85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85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85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85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85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85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85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85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85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85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85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85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85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85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85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85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85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85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85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85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85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85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85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85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85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85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85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85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85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85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85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85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85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85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85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85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85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85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85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85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85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85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85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85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85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85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85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85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85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85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85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85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85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85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85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85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85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85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85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85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85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85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85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85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85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85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85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85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85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85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85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85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85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85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85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85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85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85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85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85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85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85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85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85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85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85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85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85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85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85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85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85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85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85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85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85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85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85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85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85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85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85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85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85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85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85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85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85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85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85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85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85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85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85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85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85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85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85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85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85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85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85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85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85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85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85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85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85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85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85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85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85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85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85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85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85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85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85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85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85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85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85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85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85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85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85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85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85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85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85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85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85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85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85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85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85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85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85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85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85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85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85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85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85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85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85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85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85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85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85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85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85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85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85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85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85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85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85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85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85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85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85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85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85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85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85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85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85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85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85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85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85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85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85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85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85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85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85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85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85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85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85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85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85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85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85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85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85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85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85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85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85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85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85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85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85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85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85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85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85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85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85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85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85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85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85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85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85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85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85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85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85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85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85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85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85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85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85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85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85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85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85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85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85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85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85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85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85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85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85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85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85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85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85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85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85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85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85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85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85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85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85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85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85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85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85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85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85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85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85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85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85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85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85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85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85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85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85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85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85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85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85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85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85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85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85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85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85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85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85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85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85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85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85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85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85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85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85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85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85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85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85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85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85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85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85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85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85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85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85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85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85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85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85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85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85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85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85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85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85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85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85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85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85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85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85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85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85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85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85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85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85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85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85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85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85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85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85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85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85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85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85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85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85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85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85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85"/>
      <c r="D1000" s="1"/>
      <c r="E1000" s="1"/>
      <c r="F1000" s="1"/>
      <c r="G1000" s="1"/>
      <c r="H1000" s="1"/>
      <c r="I1000" s="1"/>
    </row>
    <row r="1001" ht="15.75" customHeight="1">
      <c r="A1001" s="1"/>
      <c r="B1001" s="1"/>
      <c r="C1001" s="85"/>
      <c r="D1001" s="1"/>
      <c r="E1001" s="1"/>
      <c r="F1001" s="1"/>
      <c r="G1001" s="1"/>
      <c r="H1001" s="1"/>
      <c r="I1001" s="1"/>
    </row>
    <row r="1002" ht="15.75" customHeight="1">
      <c r="A1002" s="1"/>
      <c r="B1002" s="1"/>
      <c r="C1002" s="85"/>
      <c r="D1002" s="1"/>
      <c r="E1002" s="1"/>
      <c r="F1002" s="1"/>
      <c r="G1002" s="1"/>
      <c r="H1002" s="1"/>
      <c r="I1002" s="1"/>
    </row>
    <row r="1003" ht="15.75" customHeight="1">
      <c r="A1003" s="1"/>
      <c r="B1003" s="1"/>
      <c r="C1003" s="85"/>
      <c r="D1003" s="1"/>
      <c r="E1003" s="1"/>
      <c r="F1003" s="1"/>
      <c r="G1003" s="1"/>
      <c r="H1003" s="1"/>
      <c r="I1003" s="1"/>
    </row>
    <row r="1004" ht="15.75" customHeight="1">
      <c r="A1004" s="1"/>
      <c r="B1004" s="1"/>
      <c r="C1004" s="85"/>
      <c r="D1004" s="1"/>
      <c r="E1004" s="1"/>
      <c r="F1004" s="1"/>
      <c r="G1004" s="1"/>
      <c r="H1004" s="1"/>
      <c r="I1004" s="1"/>
    </row>
    <row r="1005" ht="15.75" customHeight="1">
      <c r="A1005" s="1"/>
      <c r="B1005" s="1"/>
      <c r="C1005" s="85"/>
      <c r="D1005" s="1"/>
      <c r="E1005" s="1"/>
      <c r="F1005" s="1"/>
      <c r="G1005" s="1"/>
      <c r="H1005" s="1"/>
      <c r="I1005" s="1"/>
    </row>
    <row r="1006" ht="15.75" customHeight="1">
      <c r="A1006" s="1"/>
      <c r="B1006" s="1"/>
      <c r="C1006" s="85"/>
      <c r="D1006" s="1"/>
      <c r="E1006" s="1"/>
      <c r="F1006" s="1"/>
      <c r="G1006" s="1"/>
      <c r="H1006" s="1"/>
      <c r="I1006" s="1"/>
    </row>
    <row r="1007" ht="15.75" customHeight="1">
      <c r="A1007" s="1"/>
      <c r="B1007" s="1"/>
      <c r="C1007" s="85"/>
      <c r="D1007" s="1"/>
      <c r="E1007" s="1"/>
      <c r="F1007" s="1"/>
      <c r="G1007" s="1"/>
      <c r="H1007" s="1"/>
      <c r="I1007" s="1"/>
    </row>
    <row r="1008" ht="15.75" customHeight="1">
      <c r="A1008" s="1"/>
      <c r="B1008" s="1"/>
      <c r="C1008" s="85"/>
      <c r="D1008" s="1"/>
      <c r="E1008" s="1"/>
      <c r="F1008" s="1"/>
      <c r="G1008" s="1"/>
      <c r="H1008" s="1"/>
      <c r="I1008" s="1"/>
    </row>
    <row r="1009" ht="15.75" customHeight="1">
      <c r="A1009" s="1"/>
      <c r="B1009" s="1"/>
      <c r="C1009" s="85"/>
      <c r="D1009" s="1"/>
      <c r="E1009" s="1"/>
      <c r="F1009" s="1"/>
      <c r="G1009" s="1"/>
      <c r="H1009" s="1"/>
      <c r="I1009" s="1"/>
    </row>
    <row r="1010" ht="15.75" customHeight="1">
      <c r="A1010" s="1"/>
      <c r="B1010" s="1"/>
      <c r="C1010" s="85"/>
      <c r="D1010" s="1"/>
      <c r="E1010" s="1"/>
      <c r="F1010" s="1"/>
      <c r="G1010" s="1"/>
      <c r="H1010" s="1"/>
      <c r="I1010" s="1"/>
    </row>
    <row r="1011" ht="15.75" customHeight="1">
      <c r="A1011" s="1"/>
      <c r="B1011" s="1"/>
      <c r="C1011" s="85"/>
      <c r="D1011" s="1"/>
      <c r="E1011" s="1"/>
      <c r="F1011" s="1"/>
      <c r="G1011" s="1"/>
      <c r="H1011" s="1"/>
      <c r="I1011" s="1"/>
    </row>
    <row r="1012" ht="15.75" customHeight="1">
      <c r="A1012" s="1"/>
      <c r="B1012" s="1"/>
      <c r="C1012" s="85"/>
      <c r="D1012" s="1"/>
      <c r="E1012" s="1"/>
      <c r="F1012" s="1"/>
      <c r="G1012" s="1"/>
      <c r="H1012" s="1"/>
      <c r="I1012" s="1"/>
    </row>
    <row r="1013" ht="15.75" customHeight="1">
      <c r="A1013" s="1"/>
      <c r="B1013" s="1"/>
      <c r="C1013" s="85"/>
      <c r="D1013" s="1"/>
      <c r="E1013" s="1"/>
      <c r="F1013" s="1"/>
      <c r="G1013" s="1"/>
      <c r="H1013" s="1"/>
      <c r="I1013" s="1"/>
    </row>
    <row r="1014" ht="15.75" customHeight="1">
      <c r="A1014" s="1"/>
      <c r="B1014" s="1"/>
      <c r="C1014" s="85"/>
      <c r="D1014" s="1"/>
      <c r="E1014" s="1"/>
      <c r="F1014" s="1"/>
      <c r="G1014" s="1"/>
      <c r="H1014" s="1"/>
      <c r="I1014" s="1"/>
    </row>
    <row r="1015" ht="15.75" customHeight="1">
      <c r="A1015" s="1"/>
      <c r="B1015" s="1"/>
      <c r="C1015" s="85"/>
      <c r="D1015" s="1"/>
      <c r="E1015" s="1"/>
      <c r="F1015" s="1"/>
      <c r="G1015" s="1"/>
      <c r="H1015" s="1"/>
      <c r="I1015" s="1"/>
    </row>
    <row r="1016" ht="15.75" customHeight="1">
      <c r="A1016" s="1"/>
      <c r="B1016" s="1"/>
      <c r="C1016" s="85"/>
      <c r="D1016" s="1"/>
      <c r="E1016" s="1"/>
      <c r="F1016" s="1"/>
      <c r="G1016" s="1"/>
      <c r="H1016" s="1"/>
      <c r="I1016" s="1"/>
    </row>
    <row r="1017" ht="15.75" customHeight="1">
      <c r="A1017" s="1"/>
      <c r="B1017" s="1"/>
      <c r="C1017" s="85"/>
      <c r="D1017" s="1"/>
      <c r="E1017" s="1"/>
      <c r="F1017" s="1"/>
      <c r="G1017" s="1"/>
      <c r="H1017" s="1"/>
      <c r="I1017" s="1"/>
    </row>
    <row r="1018" ht="15.75" customHeight="1">
      <c r="A1018" s="1"/>
      <c r="B1018" s="1"/>
      <c r="C1018" s="85"/>
      <c r="D1018" s="1"/>
      <c r="E1018" s="1"/>
      <c r="F1018" s="1"/>
      <c r="G1018" s="1"/>
      <c r="H1018" s="1"/>
      <c r="I1018" s="1"/>
    </row>
    <row r="1019" ht="15.75" customHeight="1">
      <c r="A1019" s="1"/>
      <c r="B1019" s="1"/>
      <c r="C1019" s="85"/>
      <c r="D1019" s="1"/>
      <c r="E1019" s="1"/>
      <c r="F1019" s="1"/>
      <c r="G1019" s="1"/>
      <c r="H1019" s="1"/>
      <c r="I1019" s="1"/>
    </row>
    <row r="1020" ht="15.75" customHeight="1">
      <c r="A1020" s="1"/>
      <c r="B1020" s="1"/>
      <c r="C1020" s="85"/>
      <c r="D1020" s="1"/>
      <c r="E1020" s="1"/>
      <c r="F1020" s="1"/>
      <c r="G1020" s="1"/>
      <c r="H1020" s="1"/>
      <c r="I1020" s="1"/>
    </row>
    <row r="1021" ht="15.75" customHeight="1">
      <c r="A1021" s="1"/>
      <c r="B1021" s="1"/>
      <c r="C1021" s="85"/>
      <c r="D1021" s="1"/>
      <c r="E1021" s="1"/>
      <c r="F1021" s="1"/>
      <c r="G1021" s="1"/>
      <c r="H1021" s="1"/>
      <c r="I1021" s="1"/>
    </row>
    <row r="1022" ht="15.75" customHeight="1">
      <c r="A1022" s="1"/>
      <c r="B1022" s="1"/>
      <c r="C1022" s="85"/>
      <c r="D1022" s="1"/>
      <c r="E1022" s="1"/>
      <c r="F1022" s="1"/>
      <c r="G1022" s="1"/>
      <c r="H1022" s="1"/>
      <c r="I1022" s="1"/>
    </row>
    <row r="1023" ht="15.75" customHeight="1">
      <c r="A1023" s="1"/>
      <c r="B1023" s="1"/>
      <c r="C1023" s="85"/>
      <c r="D1023" s="1"/>
      <c r="E1023" s="1"/>
      <c r="F1023" s="1"/>
      <c r="G1023" s="1"/>
      <c r="H1023" s="1"/>
      <c r="I1023" s="1"/>
    </row>
    <row r="1024" ht="15.75" customHeight="1">
      <c r="A1024" s="1"/>
      <c r="B1024" s="1"/>
      <c r="C1024" s="85"/>
      <c r="D1024" s="1"/>
      <c r="E1024" s="1"/>
      <c r="F1024" s="1"/>
      <c r="G1024" s="1"/>
      <c r="H1024" s="1"/>
      <c r="I1024" s="1"/>
    </row>
    <row r="1025" ht="15.75" customHeight="1">
      <c r="A1025" s="1"/>
      <c r="B1025" s="1"/>
      <c r="C1025" s="85"/>
      <c r="D1025" s="1"/>
      <c r="E1025" s="1"/>
      <c r="F1025" s="1"/>
      <c r="G1025" s="1"/>
      <c r="H1025" s="1"/>
      <c r="I1025" s="1"/>
    </row>
    <row r="1026" ht="15.75" customHeight="1">
      <c r="A1026" s="1"/>
      <c r="B1026" s="1"/>
      <c r="C1026" s="85"/>
      <c r="D1026" s="1"/>
      <c r="E1026" s="1"/>
      <c r="F1026" s="1"/>
      <c r="G1026" s="1"/>
      <c r="H1026" s="1"/>
      <c r="I1026" s="1"/>
    </row>
    <row r="1027" ht="15.75" customHeight="1">
      <c r="A1027" s="1"/>
      <c r="B1027" s="1"/>
      <c r="C1027" s="85"/>
      <c r="D1027" s="1"/>
      <c r="E1027" s="1"/>
      <c r="F1027" s="1"/>
      <c r="G1027" s="1"/>
      <c r="H1027" s="1"/>
      <c r="I1027" s="1"/>
    </row>
    <row r="1028" ht="15.75" customHeight="1">
      <c r="A1028" s="1"/>
      <c r="B1028" s="1"/>
      <c r="C1028" s="85"/>
      <c r="D1028" s="1"/>
      <c r="E1028" s="1"/>
      <c r="F1028" s="1"/>
      <c r="G1028" s="1"/>
      <c r="H1028" s="1"/>
      <c r="I1028" s="1"/>
    </row>
    <row r="1029" ht="15.75" customHeight="1">
      <c r="A1029" s="1"/>
      <c r="B1029" s="1"/>
      <c r="C1029" s="85"/>
      <c r="D1029" s="1"/>
      <c r="E1029" s="1"/>
      <c r="F1029" s="1"/>
      <c r="G1029" s="1"/>
      <c r="H1029" s="1"/>
      <c r="I1029" s="1"/>
    </row>
    <row r="1030" ht="15.75" customHeight="1">
      <c r="A1030" s="1"/>
      <c r="B1030" s="1"/>
      <c r="C1030" s="85"/>
      <c r="D1030" s="1"/>
      <c r="E1030" s="1"/>
      <c r="F1030" s="1"/>
      <c r="G1030" s="1"/>
      <c r="H1030" s="1"/>
      <c r="I1030" s="1"/>
    </row>
    <row r="1031" ht="15.75" customHeight="1">
      <c r="A1031" s="1"/>
      <c r="B1031" s="1"/>
      <c r="C1031" s="85"/>
      <c r="D1031" s="1"/>
      <c r="E1031" s="1"/>
      <c r="F1031" s="1"/>
      <c r="G1031" s="1"/>
      <c r="H1031" s="1"/>
      <c r="I1031" s="1"/>
    </row>
    <row r="1032" ht="15.75" customHeight="1">
      <c r="A1032" s="1"/>
      <c r="B1032" s="1"/>
      <c r="C1032" s="85"/>
      <c r="D1032" s="1"/>
      <c r="E1032" s="1"/>
      <c r="F1032" s="1"/>
      <c r="G1032" s="1"/>
      <c r="H1032" s="1"/>
      <c r="I1032" s="1"/>
    </row>
    <row r="1033" ht="15.75" customHeight="1">
      <c r="A1033" s="1"/>
      <c r="B1033" s="1"/>
      <c r="C1033" s="85"/>
      <c r="D1033" s="1"/>
      <c r="E1033" s="1"/>
      <c r="F1033" s="1"/>
      <c r="G1033" s="1"/>
      <c r="H1033" s="1"/>
      <c r="I1033" s="1"/>
    </row>
  </sheetData>
  <autoFilter ref="$B$4:$I$25">
    <sortState ref="B4:I25">
      <sortCondition ref="C4:C25"/>
    </sortState>
  </autoFilter>
  <mergeCells count="4">
    <mergeCell ref="B1:I1"/>
    <mergeCell ref="B2:I2"/>
    <mergeCell ref="B159:I159"/>
    <mergeCell ref="B164:F164"/>
  </mergeCells>
  <dataValidations>
    <dataValidation type="list" allowBlank="1" showErrorMessage="1" sqref="H22:H25">
      <formula1>"✅ Pago,⏳ Pendente,🛑Atrasado"</formula1>
    </dataValidation>
    <dataValidation type="list" allowBlank="1" showErrorMessage="1" sqref="F22:F25">
      <formula1>"Moradia,Serviços,Saúde,Lazer &amp; Assinaturas,Financiamentos &amp; Dívidas,Investimentos / Reserva,Alimentação,Carro,Aquisições Pessoais,Família"</formula1>
    </dataValidation>
    <dataValidation type="list" allowBlank="1" showErrorMessage="1" sqref="H5:H21 H26:H157">
      <formula1>"✅ Pago,⏳ Pendente,🛑Atrasado,Não se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4" width="14.0"/>
    <col customWidth="1" min="5" max="5" width="28.0"/>
    <col customWidth="1" min="6" max="6" width="22.0"/>
    <col customWidth="1" min="7" max="7" width="16.0"/>
    <col customWidth="1" min="8" max="8" width="14.0"/>
    <col customWidth="1" min="9" max="9" width="24.0"/>
    <col customWidth="1" min="10" max="26" width="8.71"/>
  </cols>
  <sheetData>
    <row r="1" ht="31.5" customHeight="1">
      <c r="A1" s="1"/>
      <c r="B1" s="110" t="s">
        <v>111</v>
      </c>
      <c r="C1" s="3"/>
      <c r="D1" s="3"/>
      <c r="E1" s="3"/>
      <c r="F1" s="3"/>
      <c r="G1" s="3"/>
      <c r="H1" s="3"/>
      <c r="I1" s="4"/>
    </row>
    <row r="2" ht="18.0" customHeight="1">
      <c r="A2" s="1"/>
      <c r="B2" s="111" t="s">
        <v>112</v>
      </c>
      <c r="C2" s="6"/>
      <c r="D2" s="6"/>
      <c r="E2" s="6"/>
      <c r="F2" s="6"/>
      <c r="G2" s="6"/>
      <c r="H2" s="6"/>
      <c r="I2" s="7"/>
    </row>
    <row r="3" ht="7.5" customHeight="1">
      <c r="A3" s="1"/>
      <c r="B3" s="1"/>
      <c r="C3" s="85"/>
      <c r="D3" s="1"/>
      <c r="E3" s="1"/>
      <c r="F3" s="1"/>
      <c r="G3" s="1"/>
      <c r="H3" s="1"/>
      <c r="I3" s="1"/>
    </row>
    <row r="4" ht="21.75" customHeight="1">
      <c r="A4" s="1"/>
      <c r="B4" s="19" t="s">
        <v>49</v>
      </c>
      <c r="C4" s="112" t="s">
        <v>88</v>
      </c>
      <c r="D4" s="19" t="s">
        <v>50</v>
      </c>
      <c r="E4" s="19" t="s">
        <v>51</v>
      </c>
      <c r="F4" s="19" t="s">
        <v>3</v>
      </c>
      <c r="G4" s="19" t="s">
        <v>52</v>
      </c>
      <c r="H4" s="19" t="s">
        <v>53</v>
      </c>
      <c r="I4" s="19" t="s">
        <v>54</v>
      </c>
    </row>
    <row r="5" ht="18.0" customHeight="1">
      <c r="A5" s="1"/>
      <c r="B5" s="113" t="s">
        <v>55</v>
      </c>
      <c r="C5" s="114"/>
      <c r="D5" s="114">
        <v>46113.0</v>
      </c>
      <c r="E5" s="115" t="s">
        <v>113</v>
      </c>
      <c r="F5" s="113" t="s">
        <v>114</v>
      </c>
      <c r="G5" s="116">
        <v>40.35</v>
      </c>
      <c r="H5" s="117" t="s">
        <v>90</v>
      </c>
      <c r="I5" s="118"/>
    </row>
    <row r="6" ht="18.0" customHeight="1">
      <c r="A6" s="1"/>
      <c r="B6" s="113" t="s">
        <v>55</v>
      </c>
      <c r="C6" s="119">
        <v>46114.0</v>
      </c>
      <c r="D6" s="120"/>
      <c r="E6" s="113" t="s">
        <v>115</v>
      </c>
      <c r="F6" s="113" t="s">
        <v>114</v>
      </c>
      <c r="G6" s="121">
        <v>5.95</v>
      </c>
      <c r="H6" s="117" t="s">
        <v>90</v>
      </c>
      <c r="I6" s="122"/>
    </row>
    <row r="7" ht="18.0" customHeight="1">
      <c r="A7" s="1"/>
      <c r="B7" s="113" t="s">
        <v>55</v>
      </c>
      <c r="C7" s="120">
        <v>46121.0</v>
      </c>
      <c r="D7" s="120"/>
      <c r="E7" s="123" t="s">
        <v>116</v>
      </c>
      <c r="F7" s="113" t="s">
        <v>117</v>
      </c>
      <c r="G7" s="124">
        <v>66.12</v>
      </c>
      <c r="H7" s="117" t="s">
        <v>90</v>
      </c>
      <c r="I7" s="66"/>
    </row>
    <row r="8" ht="18.0" customHeight="1">
      <c r="A8" s="1"/>
      <c r="B8" s="113" t="s">
        <v>55</v>
      </c>
      <c r="C8" s="119">
        <v>46122.0</v>
      </c>
      <c r="D8" s="120"/>
      <c r="E8" s="113" t="s">
        <v>118</v>
      </c>
      <c r="F8" s="122" t="s">
        <v>119</v>
      </c>
      <c r="G8" s="121">
        <v>1350.0</v>
      </c>
      <c r="H8" s="117" t="s">
        <v>90</v>
      </c>
      <c r="I8" s="122"/>
    </row>
    <row r="9" ht="18.0" customHeight="1">
      <c r="A9" s="1"/>
      <c r="B9" s="113" t="s">
        <v>55</v>
      </c>
      <c r="C9" s="119">
        <v>46122.0</v>
      </c>
      <c r="D9" s="120"/>
      <c r="E9" s="122" t="s">
        <v>120</v>
      </c>
      <c r="F9" s="122" t="s">
        <v>119</v>
      </c>
      <c r="G9" s="121">
        <v>0.0</v>
      </c>
      <c r="H9" s="68"/>
      <c r="I9" s="122"/>
    </row>
    <row r="10" ht="18.0" customHeight="1">
      <c r="A10" s="1"/>
      <c r="B10" s="113" t="s">
        <v>55</v>
      </c>
      <c r="C10" s="119">
        <v>46122.0</v>
      </c>
      <c r="D10" s="120"/>
      <c r="E10" s="113" t="s">
        <v>121</v>
      </c>
      <c r="F10" s="122" t="s">
        <v>119</v>
      </c>
      <c r="G10" s="121">
        <v>290.0</v>
      </c>
      <c r="H10" s="117" t="s">
        <v>81</v>
      </c>
      <c r="I10" s="122"/>
    </row>
    <row r="11" ht="18.0" customHeight="1">
      <c r="A11" s="1"/>
      <c r="B11" s="113" t="s">
        <v>55</v>
      </c>
      <c r="C11" s="120">
        <v>46122.0</v>
      </c>
      <c r="D11" s="120"/>
      <c r="E11" s="123" t="s">
        <v>122</v>
      </c>
      <c r="F11" s="113" t="s">
        <v>117</v>
      </c>
      <c r="G11" s="67"/>
      <c r="H11" s="68"/>
      <c r="I11" s="66"/>
    </row>
    <row r="12" ht="18.0" customHeight="1">
      <c r="A12" s="1"/>
      <c r="B12" s="113" t="s">
        <v>55</v>
      </c>
      <c r="C12" s="119">
        <v>46127.0</v>
      </c>
      <c r="D12" s="120"/>
      <c r="E12" s="113" t="s">
        <v>123</v>
      </c>
      <c r="F12" s="122" t="s">
        <v>119</v>
      </c>
      <c r="G12" s="125"/>
      <c r="H12" s="68"/>
      <c r="I12" s="122"/>
    </row>
    <row r="13" ht="18.0" customHeight="1">
      <c r="A13" s="1"/>
      <c r="B13" s="113" t="s">
        <v>55</v>
      </c>
      <c r="C13" s="120">
        <v>46127.0</v>
      </c>
      <c r="D13" s="120"/>
      <c r="E13" s="123" t="s">
        <v>124</v>
      </c>
      <c r="F13" s="122" t="s">
        <v>119</v>
      </c>
      <c r="G13" s="67"/>
      <c r="H13" s="68"/>
      <c r="I13" s="66"/>
    </row>
    <row r="14" ht="18.0" customHeight="1">
      <c r="A14" s="1"/>
      <c r="B14" s="113" t="s">
        <v>55</v>
      </c>
      <c r="C14" s="120">
        <v>46127.0</v>
      </c>
      <c r="D14" s="120"/>
      <c r="E14" s="123" t="s">
        <v>125</v>
      </c>
      <c r="F14" s="113" t="s">
        <v>126</v>
      </c>
      <c r="G14" s="67"/>
      <c r="H14" s="68"/>
      <c r="I14" s="66"/>
    </row>
    <row r="15" ht="18.0" customHeight="1">
      <c r="A15" s="1"/>
      <c r="B15" s="113" t="s">
        <v>55</v>
      </c>
      <c r="C15" s="126">
        <v>46132.0</v>
      </c>
      <c r="D15" s="120"/>
      <c r="E15" s="127" t="s">
        <v>127</v>
      </c>
      <c r="F15" s="113" t="s">
        <v>128</v>
      </c>
      <c r="G15" s="128">
        <v>25.92</v>
      </c>
      <c r="H15" s="117" t="s">
        <v>90</v>
      </c>
      <c r="I15" s="129"/>
    </row>
    <row r="16" ht="18.0" customHeight="1">
      <c r="A16" s="1"/>
      <c r="B16" s="113" t="s">
        <v>55</v>
      </c>
      <c r="C16" s="120"/>
      <c r="D16" s="120">
        <v>46142.0</v>
      </c>
      <c r="E16" s="123" t="s">
        <v>129</v>
      </c>
      <c r="F16" s="113" t="s">
        <v>109</v>
      </c>
      <c r="G16" s="124">
        <v>50.0</v>
      </c>
      <c r="H16" s="117" t="s">
        <v>90</v>
      </c>
      <c r="I16" s="66"/>
    </row>
    <row r="17" ht="18.0" customHeight="1">
      <c r="A17" s="1"/>
      <c r="B17" s="113" t="s">
        <v>55</v>
      </c>
      <c r="C17" s="130"/>
      <c r="D17" s="120">
        <v>46114.0</v>
      </c>
      <c r="E17" s="118" t="s">
        <v>130</v>
      </c>
      <c r="F17" s="113" t="s">
        <v>114</v>
      </c>
      <c r="G17" s="116">
        <v>70.5</v>
      </c>
      <c r="H17" s="68"/>
      <c r="I17" s="115" t="s">
        <v>131</v>
      </c>
    </row>
    <row r="18" ht="18.0" customHeight="1">
      <c r="A18" s="1"/>
      <c r="B18" s="113" t="s">
        <v>55</v>
      </c>
      <c r="C18" s="100"/>
      <c r="D18" s="120"/>
      <c r="E18" s="69" t="s">
        <v>132</v>
      </c>
      <c r="F18" s="113" t="s">
        <v>126</v>
      </c>
      <c r="G18" s="70"/>
      <c r="H18" s="68"/>
      <c r="I18" s="69"/>
    </row>
    <row r="19" ht="18.0" customHeight="1">
      <c r="A19" s="1"/>
      <c r="B19" s="113" t="s">
        <v>55</v>
      </c>
      <c r="C19" s="100"/>
      <c r="D19" s="120">
        <v>46115.0</v>
      </c>
      <c r="E19" s="69" t="s">
        <v>133</v>
      </c>
      <c r="F19" s="113" t="s">
        <v>126</v>
      </c>
      <c r="G19" s="131">
        <v>16.37</v>
      </c>
      <c r="H19" s="68"/>
      <c r="I19" s="132" t="s">
        <v>134</v>
      </c>
    </row>
    <row r="20" ht="18.0" customHeight="1">
      <c r="A20" s="1"/>
      <c r="B20" s="113" t="s">
        <v>55</v>
      </c>
      <c r="C20" s="133"/>
      <c r="D20" s="120"/>
      <c r="E20" s="129" t="s">
        <v>135</v>
      </c>
      <c r="F20" s="113" t="s">
        <v>128</v>
      </c>
      <c r="G20" s="134"/>
      <c r="H20" s="68"/>
      <c r="I20" s="129"/>
    </row>
    <row r="21" ht="18.0" customHeight="1">
      <c r="A21" s="1"/>
      <c r="B21" s="113" t="s">
        <v>55</v>
      </c>
      <c r="C21" s="135"/>
      <c r="D21" s="120"/>
      <c r="E21" s="136" t="s">
        <v>136</v>
      </c>
      <c r="F21" s="113" t="s">
        <v>137</v>
      </c>
      <c r="G21" s="137"/>
      <c r="H21" s="68"/>
      <c r="I21" s="136"/>
    </row>
    <row r="22" ht="18.0" customHeight="1">
      <c r="A22" s="1"/>
      <c r="B22" s="113" t="s">
        <v>55</v>
      </c>
      <c r="C22" s="98"/>
      <c r="D22" s="120"/>
      <c r="E22" s="66" t="s">
        <v>138</v>
      </c>
      <c r="F22" s="113" t="s">
        <v>139</v>
      </c>
      <c r="G22" s="67"/>
      <c r="H22" s="68"/>
      <c r="I22" s="66"/>
    </row>
    <row r="23" ht="18.0" customHeight="1">
      <c r="A23" s="1"/>
      <c r="B23" s="113" t="s">
        <v>55</v>
      </c>
      <c r="C23" s="120">
        <v>46126.0</v>
      </c>
      <c r="D23" s="120"/>
      <c r="E23" s="123" t="s">
        <v>140</v>
      </c>
      <c r="F23" s="122" t="s">
        <v>119</v>
      </c>
      <c r="G23" s="124">
        <v>220.0</v>
      </c>
      <c r="H23" s="117" t="s">
        <v>90</v>
      </c>
      <c r="I23" s="66"/>
    </row>
    <row r="24" ht="18.0" customHeight="1">
      <c r="A24" s="1"/>
      <c r="B24" s="113" t="s">
        <v>55</v>
      </c>
      <c r="C24" s="120">
        <v>46140.0</v>
      </c>
      <c r="D24" s="120">
        <v>46147.0</v>
      </c>
      <c r="E24" s="123" t="s">
        <v>141</v>
      </c>
      <c r="F24" s="122" t="s">
        <v>119</v>
      </c>
      <c r="G24" s="124">
        <v>220.0</v>
      </c>
      <c r="H24" s="117" t="s">
        <v>81</v>
      </c>
      <c r="I24" s="123" t="s">
        <v>142</v>
      </c>
    </row>
    <row r="25" ht="18.0" customHeight="1">
      <c r="A25" s="1"/>
      <c r="B25" s="113" t="s">
        <v>55</v>
      </c>
      <c r="C25" s="98"/>
      <c r="D25" s="120"/>
      <c r="E25" s="123" t="s">
        <v>143</v>
      </c>
      <c r="F25" s="113" t="s">
        <v>114</v>
      </c>
      <c r="G25" s="67"/>
      <c r="H25" s="68"/>
      <c r="I25" s="66"/>
    </row>
    <row r="26" ht="18.0" customHeight="1">
      <c r="A26" s="1"/>
      <c r="B26" s="113" t="s">
        <v>55</v>
      </c>
      <c r="C26" s="98"/>
      <c r="D26" s="120"/>
      <c r="E26" s="123" t="s">
        <v>144</v>
      </c>
      <c r="F26" s="113" t="s">
        <v>109</v>
      </c>
      <c r="G26" s="67"/>
      <c r="H26" s="68"/>
      <c r="I26" s="66"/>
    </row>
    <row r="27" ht="18.0" customHeight="1">
      <c r="A27" s="1"/>
      <c r="B27" s="113" t="s">
        <v>55</v>
      </c>
      <c r="C27" s="98"/>
      <c r="D27" s="120"/>
      <c r="E27" s="123" t="s">
        <v>108</v>
      </c>
      <c r="F27" s="113" t="s">
        <v>109</v>
      </c>
      <c r="G27" s="67"/>
      <c r="H27" s="68"/>
      <c r="I27" s="66"/>
    </row>
    <row r="28" ht="18.0" customHeight="1">
      <c r="A28" s="1"/>
      <c r="B28" s="113" t="s">
        <v>55</v>
      </c>
      <c r="C28" s="98"/>
      <c r="D28" s="120"/>
      <c r="E28" s="123" t="s">
        <v>145</v>
      </c>
      <c r="F28" s="113" t="s">
        <v>109</v>
      </c>
      <c r="G28" s="67"/>
      <c r="H28" s="68"/>
      <c r="I28" s="66"/>
    </row>
    <row r="29" ht="18.0" customHeight="1">
      <c r="A29" s="1"/>
      <c r="B29" s="113" t="s">
        <v>55</v>
      </c>
      <c r="C29" s="98"/>
      <c r="D29" s="120"/>
      <c r="E29" s="123" t="s">
        <v>146</v>
      </c>
      <c r="F29" s="113" t="s">
        <v>114</v>
      </c>
      <c r="G29" s="67"/>
      <c r="H29" s="68"/>
      <c r="I29" s="66"/>
    </row>
    <row r="30" ht="18.0" customHeight="1">
      <c r="A30" s="1"/>
      <c r="B30" s="113" t="s">
        <v>55</v>
      </c>
      <c r="C30" s="138"/>
      <c r="D30" s="120"/>
      <c r="E30" s="113" t="s">
        <v>147</v>
      </c>
      <c r="F30" s="113" t="s">
        <v>148</v>
      </c>
      <c r="G30" s="121">
        <v>397.0</v>
      </c>
      <c r="H30" s="117" t="s">
        <v>90</v>
      </c>
      <c r="I30" s="122"/>
    </row>
    <row r="31" ht="18.0" customHeight="1">
      <c r="A31" s="1"/>
      <c r="B31" s="113" t="s">
        <v>55</v>
      </c>
      <c r="C31" s="138"/>
      <c r="D31" s="120">
        <v>46113.0</v>
      </c>
      <c r="E31" s="113" t="s">
        <v>149</v>
      </c>
      <c r="F31" s="113" t="s">
        <v>148</v>
      </c>
      <c r="G31" s="121">
        <v>26.9</v>
      </c>
      <c r="H31" s="117"/>
      <c r="I31" s="122"/>
    </row>
    <row r="32" ht="18.0" customHeight="1">
      <c r="A32" s="1"/>
      <c r="B32" s="113" t="s">
        <v>55</v>
      </c>
      <c r="C32" s="119">
        <v>46112.0</v>
      </c>
      <c r="D32" s="120">
        <v>46114.0</v>
      </c>
      <c r="E32" s="123" t="s">
        <v>150</v>
      </c>
      <c r="F32" s="122" t="s">
        <v>119</v>
      </c>
      <c r="G32" s="124">
        <v>220.0</v>
      </c>
      <c r="H32" s="117" t="s">
        <v>90</v>
      </c>
      <c r="I32" s="122"/>
    </row>
    <row r="33" ht="18.0" customHeight="1">
      <c r="A33" s="1"/>
      <c r="B33" s="113" t="s">
        <v>55</v>
      </c>
      <c r="C33" s="138"/>
      <c r="D33" s="120">
        <v>46115.0</v>
      </c>
      <c r="E33" s="113" t="s">
        <v>151</v>
      </c>
      <c r="F33" s="113" t="s">
        <v>148</v>
      </c>
      <c r="G33" s="121">
        <v>50.0</v>
      </c>
      <c r="H33" s="117" t="s">
        <v>90</v>
      </c>
      <c r="I33" s="122"/>
    </row>
    <row r="34" ht="18.0" customHeight="1">
      <c r="A34" s="1"/>
      <c r="B34" s="113" t="s">
        <v>55</v>
      </c>
      <c r="C34" s="138"/>
      <c r="D34" s="120">
        <v>46115.0</v>
      </c>
      <c r="E34" s="113" t="s">
        <v>152</v>
      </c>
      <c r="F34" s="113" t="s">
        <v>114</v>
      </c>
      <c r="G34" s="121">
        <v>107.47</v>
      </c>
      <c r="H34" s="117" t="s">
        <v>90</v>
      </c>
      <c r="I34" s="113" t="s">
        <v>113</v>
      </c>
    </row>
    <row r="35" ht="18.0" customHeight="1">
      <c r="A35" s="1"/>
      <c r="B35" s="113" t="s">
        <v>55</v>
      </c>
      <c r="C35" s="138"/>
      <c r="D35" s="120">
        <v>46115.0</v>
      </c>
      <c r="E35" s="113" t="s">
        <v>153</v>
      </c>
      <c r="F35" s="113" t="s">
        <v>119</v>
      </c>
      <c r="G35" s="121">
        <v>28.0</v>
      </c>
      <c r="H35" s="117" t="s">
        <v>90</v>
      </c>
      <c r="I35" s="122"/>
    </row>
    <row r="36" ht="18.0" customHeight="1">
      <c r="A36" s="1"/>
      <c r="B36" s="113" t="s">
        <v>55</v>
      </c>
      <c r="C36" s="138"/>
      <c r="D36" s="120">
        <v>46118.0</v>
      </c>
      <c r="E36" s="113" t="s">
        <v>154</v>
      </c>
      <c r="F36" s="113" t="s">
        <v>148</v>
      </c>
      <c r="G36" s="121">
        <v>50.0</v>
      </c>
      <c r="H36" s="117" t="s">
        <v>90</v>
      </c>
      <c r="I36" s="113" t="s">
        <v>155</v>
      </c>
    </row>
    <row r="37" ht="18.0" customHeight="1">
      <c r="A37" s="1"/>
      <c r="B37" s="113" t="s">
        <v>55</v>
      </c>
      <c r="C37" s="138"/>
      <c r="D37" s="120">
        <v>46118.0</v>
      </c>
      <c r="E37" s="113" t="s">
        <v>156</v>
      </c>
      <c r="F37" s="113" t="s">
        <v>126</v>
      </c>
      <c r="G37" s="121">
        <v>6.8</v>
      </c>
      <c r="H37" s="117" t="s">
        <v>90</v>
      </c>
      <c r="I37" s="122"/>
    </row>
    <row r="38" ht="18.0" customHeight="1">
      <c r="A38" s="1"/>
      <c r="B38" s="113" t="s">
        <v>55</v>
      </c>
      <c r="C38" s="138"/>
      <c r="D38" s="120">
        <v>46118.0</v>
      </c>
      <c r="E38" s="113" t="s">
        <v>157</v>
      </c>
      <c r="F38" s="113" t="s">
        <v>114</v>
      </c>
      <c r="G38" s="121">
        <v>29.4</v>
      </c>
      <c r="H38" s="117" t="s">
        <v>90</v>
      </c>
      <c r="I38" s="122"/>
    </row>
    <row r="39" ht="18.0" customHeight="1">
      <c r="A39" s="1"/>
      <c r="B39" s="113" t="s">
        <v>55</v>
      </c>
      <c r="C39" s="138"/>
      <c r="D39" s="120">
        <v>46118.0</v>
      </c>
      <c r="E39" s="113" t="s">
        <v>156</v>
      </c>
      <c r="F39" s="113" t="s">
        <v>126</v>
      </c>
      <c r="G39" s="121">
        <v>23.9</v>
      </c>
      <c r="H39" s="117" t="s">
        <v>90</v>
      </c>
      <c r="I39" s="113" t="s">
        <v>156</v>
      </c>
    </row>
    <row r="40" ht="18.0" customHeight="1">
      <c r="A40" s="1"/>
      <c r="B40" s="113" t="s">
        <v>55</v>
      </c>
      <c r="C40" s="138"/>
      <c r="D40" s="120">
        <v>46119.0</v>
      </c>
      <c r="E40" s="113" t="s">
        <v>158</v>
      </c>
      <c r="F40" s="113" t="s">
        <v>114</v>
      </c>
      <c r="G40" s="121">
        <v>23.9</v>
      </c>
      <c r="H40" s="117" t="s">
        <v>90</v>
      </c>
      <c r="I40" s="113" t="s">
        <v>159</v>
      </c>
    </row>
    <row r="41" ht="18.0" customHeight="1">
      <c r="A41" s="1"/>
      <c r="B41" s="113" t="s">
        <v>55</v>
      </c>
      <c r="C41" s="120"/>
      <c r="D41" s="120">
        <v>46119.0</v>
      </c>
      <c r="E41" s="123" t="s">
        <v>129</v>
      </c>
      <c r="F41" s="113" t="s">
        <v>109</v>
      </c>
      <c r="G41" s="124">
        <v>50.0</v>
      </c>
      <c r="H41" s="117" t="s">
        <v>90</v>
      </c>
      <c r="I41" s="66"/>
    </row>
    <row r="42" ht="18.0" customHeight="1">
      <c r="A42" s="1"/>
      <c r="B42" s="113" t="s">
        <v>55</v>
      </c>
      <c r="C42" s="138"/>
      <c r="D42" s="120">
        <v>46120.0</v>
      </c>
      <c r="E42" s="113" t="s">
        <v>160</v>
      </c>
      <c r="F42" s="113" t="s">
        <v>114</v>
      </c>
      <c r="G42" s="121">
        <v>12.0</v>
      </c>
      <c r="H42" s="117" t="s">
        <v>90</v>
      </c>
      <c r="I42" s="122"/>
    </row>
    <row r="43" ht="18.0" customHeight="1">
      <c r="A43" s="1"/>
      <c r="B43" s="113" t="s">
        <v>55</v>
      </c>
      <c r="C43" s="138"/>
      <c r="D43" s="120">
        <v>46120.0</v>
      </c>
      <c r="E43" s="123" t="s">
        <v>129</v>
      </c>
      <c r="F43" s="113" t="s">
        <v>109</v>
      </c>
      <c r="G43" s="124">
        <v>50.0</v>
      </c>
      <c r="H43" s="117" t="s">
        <v>90</v>
      </c>
      <c r="I43" s="122"/>
    </row>
    <row r="44" ht="18.0" customHeight="1">
      <c r="A44" s="1"/>
      <c r="B44" s="113" t="s">
        <v>55</v>
      </c>
      <c r="C44" s="138"/>
      <c r="D44" s="120">
        <v>46120.0</v>
      </c>
      <c r="E44" s="113" t="s">
        <v>161</v>
      </c>
      <c r="F44" s="113" t="s">
        <v>114</v>
      </c>
      <c r="G44" s="121">
        <v>29.74</v>
      </c>
      <c r="H44" s="117" t="s">
        <v>90</v>
      </c>
      <c r="I44" s="122"/>
    </row>
    <row r="45" ht="18.0" customHeight="1">
      <c r="A45" s="1"/>
      <c r="B45" s="113" t="s">
        <v>55</v>
      </c>
      <c r="C45" s="138"/>
      <c r="D45" s="120">
        <v>46120.0</v>
      </c>
      <c r="E45" s="113" t="s">
        <v>113</v>
      </c>
      <c r="F45" s="113" t="s">
        <v>114</v>
      </c>
      <c r="G45" s="121">
        <v>105.68</v>
      </c>
      <c r="H45" s="117" t="s">
        <v>90</v>
      </c>
      <c r="I45" s="122"/>
    </row>
    <row r="46" ht="18.0" customHeight="1">
      <c r="A46" s="1"/>
      <c r="B46" s="113" t="s">
        <v>55</v>
      </c>
      <c r="C46" s="119">
        <v>46122.0</v>
      </c>
      <c r="D46" s="119">
        <v>46123.0</v>
      </c>
      <c r="E46" s="113" t="s">
        <v>118</v>
      </c>
      <c r="F46" s="122" t="s">
        <v>119</v>
      </c>
      <c r="G46" s="121">
        <v>650.0</v>
      </c>
      <c r="H46" s="117" t="s">
        <v>90</v>
      </c>
      <c r="I46" s="122"/>
    </row>
    <row r="47" ht="18.0" customHeight="1">
      <c r="A47" s="1"/>
      <c r="B47" s="113"/>
      <c r="C47" s="138"/>
      <c r="D47" s="119">
        <v>46123.0</v>
      </c>
      <c r="E47" s="113" t="s">
        <v>162</v>
      </c>
      <c r="F47" s="113" t="s">
        <v>114</v>
      </c>
      <c r="G47" s="121">
        <v>11.8</v>
      </c>
      <c r="H47" s="117" t="s">
        <v>90</v>
      </c>
      <c r="I47" s="122"/>
    </row>
    <row r="48" ht="18.0" customHeight="1">
      <c r="A48" s="1"/>
      <c r="B48" s="113"/>
      <c r="C48" s="138"/>
      <c r="D48" s="119">
        <v>46123.0</v>
      </c>
      <c r="E48" s="113" t="s">
        <v>163</v>
      </c>
      <c r="F48" s="113" t="s">
        <v>114</v>
      </c>
      <c r="G48" s="121">
        <v>16.0</v>
      </c>
      <c r="H48" s="117" t="s">
        <v>90</v>
      </c>
      <c r="I48" s="122"/>
    </row>
    <row r="49" ht="18.0" customHeight="1">
      <c r="A49" s="1"/>
      <c r="B49" s="113"/>
      <c r="C49" s="138"/>
      <c r="D49" s="119">
        <v>46123.0</v>
      </c>
      <c r="E49" s="113" t="s">
        <v>162</v>
      </c>
      <c r="F49" s="113" t="s">
        <v>114</v>
      </c>
      <c r="G49" s="121">
        <v>5.0</v>
      </c>
      <c r="H49" s="117" t="s">
        <v>90</v>
      </c>
      <c r="I49" s="122"/>
    </row>
    <row r="50" ht="18.0" customHeight="1">
      <c r="A50" s="1"/>
      <c r="B50" s="113"/>
      <c r="C50" s="138"/>
      <c r="D50" s="119">
        <v>46123.0</v>
      </c>
      <c r="E50" s="113" t="s">
        <v>162</v>
      </c>
      <c r="F50" s="113" t="s">
        <v>114</v>
      </c>
      <c r="G50" s="121">
        <v>5.0</v>
      </c>
      <c r="H50" s="117" t="s">
        <v>90</v>
      </c>
      <c r="I50" s="122"/>
    </row>
    <row r="51" ht="18.0" customHeight="1">
      <c r="A51" s="1"/>
      <c r="B51" s="113"/>
      <c r="C51" s="138"/>
      <c r="D51" s="119">
        <v>46123.0</v>
      </c>
      <c r="E51" s="113" t="s">
        <v>162</v>
      </c>
      <c r="F51" s="113" t="s">
        <v>114</v>
      </c>
      <c r="G51" s="121">
        <v>5.0</v>
      </c>
      <c r="H51" s="117" t="s">
        <v>90</v>
      </c>
      <c r="I51" s="122"/>
    </row>
    <row r="52" ht="18.0" customHeight="1">
      <c r="A52" s="1"/>
      <c r="B52" s="113"/>
      <c r="C52" s="138"/>
      <c r="D52" s="119">
        <v>46123.0</v>
      </c>
      <c r="E52" s="113" t="s">
        <v>162</v>
      </c>
      <c r="F52" s="113" t="s">
        <v>114</v>
      </c>
      <c r="G52" s="121">
        <v>5.0</v>
      </c>
      <c r="H52" s="117" t="s">
        <v>90</v>
      </c>
      <c r="I52" s="122"/>
    </row>
    <row r="53" ht="18.0" customHeight="1">
      <c r="A53" s="1"/>
      <c r="B53" s="113"/>
      <c r="C53" s="138"/>
      <c r="D53" s="120">
        <v>46124.0</v>
      </c>
      <c r="E53" s="113" t="s">
        <v>143</v>
      </c>
      <c r="F53" s="113" t="s">
        <v>114</v>
      </c>
      <c r="G53" s="121">
        <v>66.41</v>
      </c>
      <c r="H53" s="117" t="s">
        <v>90</v>
      </c>
      <c r="I53" s="122"/>
    </row>
    <row r="54" ht="18.0" customHeight="1">
      <c r="A54" s="1"/>
      <c r="B54" s="113"/>
      <c r="C54" s="138"/>
      <c r="D54" s="120">
        <v>46125.0</v>
      </c>
      <c r="E54" s="113" t="s">
        <v>164</v>
      </c>
      <c r="F54" s="113" t="s">
        <v>148</v>
      </c>
      <c r="G54" s="121">
        <v>59.9</v>
      </c>
      <c r="H54" s="117" t="s">
        <v>90</v>
      </c>
      <c r="I54" s="122"/>
    </row>
    <row r="55" ht="18.0" customHeight="1">
      <c r="A55" s="1"/>
      <c r="B55" s="113"/>
      <c r="C55" s="138"/>
      <c r="D55" s="120">
        <v>46125.0</v>
      </c>
      <c r="E55" s="113" t="s">
        <v>165</v>
      </c>
      <c r="F55" s="113" t="s">
        <v>166</v>
      </c>
      <c r="G55" s="121">
        <v>200.0</v>
      </c>
      <c r="H55" s="117" t="s">
        <v>90</v>
      </c>
      <c r="I55" s="122"/>
    </row>
    <row r="56" ht="18.0" customHeight="1">
      <c r="A56" s="1"/>
      <c r="B56" s="113"/>
      <c r="C56" s="138"/>
      <c r="D56" s="120">
        <v>46125.0</v>
      </c>
      <c r="E56" s="113" t="s">
        <v>156</v>
      </c>
      <c r="F56" s="113" t="s">
        <v>126</v>
      </c>
      <c r="G56" s="121">
        <v>15.98</v>
      </c>
      <c r="H56" s="117" t="s">
        <v>90</v>
      </c>
      <c r="I56" s="122"/>
    </row>
    <row r="57" ht="18.0" customHeight="1">
      <c r="A57" s="1"/>
      <c r="B57" s="113"/>
      <c r="C57" s="138"/>
      <c r="D57" s="120">
        <v>46125.0</v>
      </c>
      <c r="E57" s="113" t="s">
        <v>129</v>
      </c>
      <c r="F57" s="113" t="s">
        <v>109</v>
      </c>
      <c r="G57" s="121">
        <v>50.0</v>
      </c>
      <c r="H57" s="117" t="s">
        <v>90</v>
      </c>
      <c r="I57" s="122"/>
    </row>
    <row r="58" ht="18.0" customHeight="1">
      <c r="A58" s="1"/>
      <c r="B58" s="113"/>
      <c r="C58" s="138"/>
      <c r="D58" s="120">
        <v>46125.0</v>
      </c>
      <c r="E58" s="113" t="s">
        <v>167</v>
      </c>
      <c r="F58" s="113" t="s">
        <v>114</v>
      </c>
      <c r="G58" s="121">
        <v>13.33</v>
      </c>
      <c r="H58" s="117" t="s">
        <v>90</v>
      </c>
      <c r="I58" s="122"/>
    </row>
    <row r="59" ht="18.0" customHeight="1">
      <c r="A59" s="1"/>
      <c r="B59" s="113"/>
      <c r="C59" s="138"/>
      <c r="D59" s="120">
        <v>46126.0</v>
      </c>
      <c r="E59" s="113" t="s">
        <v>153</v>
      </c>
      <c r="F59" s="113" t="s">
        <v>119</v>
      </c>
      <c r="G59" s="121">
        <v>14.0</v>
      </c>
      <c r="H59" s="117" t="s">
        <v>90</v>
      </c>
      <c r="I59" s="122"/>
    </row>
    <row r="60" ht="18.0" customHeight="1">
      <c r="A60" s="1"/>
      <c r="B60" s="113"/>
      <c r="C60" s="138"/>
      <c r="D60" s="120">
        <v>46126.0</v>
      </c>
      <c r="E60" s="113" t="s">
        <v>168</v>
      </c>
      <c r="F60" s="113" t="s">
        <v>148</v>
      </c>
      <c r="G60" s="121">
        <v>50.0</v>
      </c>
      <c r="H60" s="117" t="s">
        <v>90</v>
      </c>
      <c r="I60" s="122"/>
    </row>
    <row r="61" ht="18.0" customHeight="1">
      <c r="A61" s="1"/>
      <c r="B61" s="113"/>
      <c r="C61" s="138"/>
      <c r="D61" s="120">
        <v>46126.0</v>
      </c>
      <c r="E61" s="113" t="s">
        <v>153</v>
      </c>
      <c r="F61" s="113" t="s">
        <v>119</v>
      </c>
      <c r="G61" s="121">
        <v>14.0</v>
      </c>
      <c r="H61" s="117" t="s">
        <v>90</v>
      </c>
      <c r="I61" s="122"/>
    </row>
    <row r="62" ht="18.0" customHeight="1">
      <c r="A62" s="1"/>
      <c r="B62" s="113"/>
      <c r="C62" s="138"/>
      <c r="D62" s="120">
        <v>46126.0</v>
      </c>
      <c r="E62" s="113" t="s">
        <v>169</v>
      </c>
      <c r="F62" s="113" t="s">
        <v>166</v>
      </c>
      <c r="G62" s="121">
        <v>38.99</v>
      </c>
      <c r="H62" s="117" t="s">
        <v>90</v>
      </c>
      <c r="I62" s="122"/>
    </row>
    <row r="63" ht="18.0" customHeight="1">
      <c r="A63" s="1"/>
      <c r="B63" s="113"/>
      <c r="C63" s="138"/>
      <c r="D63" s="120">
        <v>46127.0</v>
      </c>
      <c r="E63" s="113" t="s">
        <v>158</v>
      </c>
      <c r="F63" s="113" t="s">
        <v>114</v>
      </c>
      <c r="G63" s="121">
        <v>11.8</v>
      </c>
      <c r="H63" s="117" t="s">
        <v>90</v>
      </c>
      <c r="I63" s="122"/>
    </row>
    <row r="64" ht="18.0" customHeight="1">
      <c r="A64" s="1"/>
      <c r="B64" s="113"/>
      <c r="C64" s="138"/>
      <c r="D64" s="120">
        <v>46127.0</v>
      </c>
      <c r="E64" s="113" t="s">
        <v>140</v>
      </c>
      <c r="F64" s="122" t="s">
        <v>119</v>
      </c>
      <c r="G64" s="121">
        <v>220.0</v>
      </c>
      <c r="H64" s="117" t="s">
        <v>90</v>
      </c>
      <c r="I64" s="122"/>
    </row>
    <row r="65" ht="18.0" customHeight="1">
      <c r="A65" s="1"/>
      <c r="B65" s="113"/>
      <c r="C65" s="138"/>
      <c r="D65" s="120">
        <v>46127.0</v>
      </c>
      <c r="E65" s="113" t="s">
        <v>113</v>
      </c>
      <c r="F65" s="113" t="s">
        <v>114</v>
      </c>
      <c r="G65" s="121">
        <v>207.16</v>
      </c>
      <c r="H65" s="117" t="s">
        <v>90</v>
      </c>
      <c r="I65" s="122"/>
    </row>
    <row r="66" ht="18.0" customHeight="1">
      <c r="A66" s="1"/>
      <c r="B66" s="113"/>
      <c r="C66" s="138"/>
      <c r="D66" s="120">
        <v>46127.0</v>
      </c>
      <c r="E66" s="113" t="s">
        <v>143</v>
      </c>
      <c r="F66" s="113" t="s">
        <v>114</v>
      </c>
      <c r="G66" s="121">
        <v>32.88</v>
      </c>
      <c r="H66" s="117" t="s">
        <v>90</v>
      </c>
      <c r="I66" s="122"/>
    </row>
    <row r="67" ht="18.0" customHeight="1">
      <c r="A67" s="1"/>
      <c r="B67" s="113"/>
      <c r="C67" s="138"/>
      <c r="D67" s="120">
        <v>46128.0</v>
      </c>
      <c r="E67" s="113" t="s">
        <v>129</v>
      </c>
      <c r="F67" s="113" t="s">
        <v>109</v>
      </c>
      <c r="G67" s="121">
        <v>50.0</v>
      </c>
      <c r="H67" s="117" t="s">
        <v>90</v>
      </c>
      <c r="I67" s="122"/>
    </row>
    <row r="68" ht="18.0" customHeight="1">
      <c r="A68" s="1"/>
      <c r="B68" s="113"/>
      <c r="C68" s="138"/>
      <c r="D68" s="120">
        <v>46128.0</v>
      </c>
      <c r="E68" s="123" t="s">
        <v>170</v>
      </c>
      <c r="F68" s="113" t="s">
        <v>114</v>
      </c>
      <c r="G68" s="121">
        <v>15.79</v>
      </c>
      <c r="H68" s="117" t="s">
        <v>90</v>
      </c>
      <c r="I68" s="122"/>
    </row>
    <row r="69" ht="18.0" customHeight="1">
      <c r="A69" s="1"/>
      <c r="B69" s="113"/>
      <c r="C69" s="138"/>
      <c r="D69" s="120">
        <v>46128.0</v>
      </c>
      <c r="E69" s="69" t="s">
        <v>133</v>
      </c>
      <c r="F69" s="113" t="s">
        <v>126</v>
      </c>
      <c r="G69" s="121">
        <v>40.79</v>
      </c>
      <c r="H69" s="117" t="s">
        <v>90</v>
      </c>
      <c r="I69" s="122"/>
    </row>
    <row r="70" ht="18.0" customHeight="1">
      <c r="A70" s="1"/>
      <c r="B70" s="113"/>
      <c r="C70" s="138"/>
      <c r="D70" s="120">
        <v>46130.0</v>
      </c>
      <c r="E70" s="113" t="s">
        <v>171</v>
      </c>
      <c r="F70" s="113" t="s">
        <v>114</v>
      </c>
      <c r="G70" s="121">
        <v>31.49</v>
      </c>
      <c r="H70" s="117" t="s">
        <v>90</v>
      </c>
      <c r="I70" s="122"/>
    </row>
    <row r="71" ht="18.0" customHeight="1">
      <c r="A71" s="1"/>
      <c r="B71" s="113"/>
      <c r="C71" s="138"/>
      <c r="D71" s="120">
        <v>46131.0</v>
      </c>
      <c r="E71" s="113" t="s">
        <v>158</v>
      </c>
      <c r="F71" s="113" t="s">
        <v>114</v>
      </c>
      <c r="G71" s="121">
        <v>23.7</v>
      </c>
      <c r="H71" s="117" t="s">
        <v>90</v>
      </c>
      <c r="I71" s="122"/>
    </row>
    <row r="72" ht="18.0" customHeight="1">
      <c r="A72" s="1"/>
      <c r="B72" s="113"/>
      <c r="C72" s="138"/>
      <c r="D72" s="120">
        <v>46131.0</v>
      </c>
      <c r="E72" s="113" t="s">
        <v>129</v>
      </c>
      <c r="F72" s="113" t="s">
        <v>109</v>
      </c>
      <c r="G72" s="121">
        <v>50.0</v>
      </c>
      <c r="H72" s="117" t="s">
        <v>90</v>
      </c>
      <c r="I72" s="122"/>
    </row>
    <row r="73" ht="18.0" customHeight="1">
      <c r="A73" s="1"/>
      <c r="B73" s="113"/>
      <c r="C73" s="138"/>
      <c r="D73" s="120">
        <v>46131.0</v>
      </c>
      <c r="E73" s="113" t="s">
        <v>172</v>
      </c>
      <c r="F73" s="113" t="s">
        <v>114</v>
      </c>
      <c r="G73" s="121">
        <v>13.9</v>
      </c>
      <c r="H73" s="117" t="s">
        <v>90</v>
      </c>
      <c r="I73" s="122"/>
    </row>
    <row r="74" ht="18.0" customHeight="1">
      <c r="A74" s="1"/>
      <c r="B74" s="113"/>
      <c r="C74" s="138"/>
      <c r="D74" s="120">
        <v>46132.0</v>
      </c>
      <c r="E74" s="113" t="s">
        <v>153</v>
      </c>
      <c r="F74" s="113" t="s">
        <v>119</v>
      </c>
      <c r="G74" s="121">
        <v>12.0</v>
      </c>
      <c r="H74" s="117" t="s">
        <v>90</v>
      </c>
      <c r="I74" s="122"/>
    </row>
    <row r="75" ht="18.0" customHeight="1">
      <c r="A75" s="1"/>
      <c r="B75" s="113"/>
      <c r="C75" s="138"/>
      <c r="D75" s="120">
        <v>46132.0</v>
      </c>
      <c r="E75" s="113" t="s">
        <v>129</v>
      </c>
      <c r="F75" s="113" t="s">
        <v>109</v>
      </c>
      <c r="G75" s="121">
        <v>50.0</v>
      </c>
      <c r="H75" s="117" t="s">
        <v>90</v>
      </c>
      <c r="I75" s="122"/>
    </row>
    <row r="76" ht="18.0" customHeight="1">
      <c r="A76" s="1"/>
      <c r="B76" s="113"/>
      <c r="C76" s="138"/>
      <c r="D76" s="120">
        <v>46133.0</v>
      </c>
      <c r="E76" s="113" t="s">
        <v>129</v>
      </c>
      <c r="F76" s="113" t="s">
        <v>109</v>
      </c>
      <c r="G76" s="121">
        <v>40.0</v>
      </c>
      <c r="H76" s="117" t="s">
        <v>90</v>
      </c>
      <c r="I76" s="122"/>
    </row>
    <row r="77" ht="18.0" customHeight="1">
      <c r="A77" s="1"/>
      <c r="B77" s="113"/>
      <c r="C77" s="138"/>
      <c r="D77" s="120">
        <v>46134.0</v>
      </c>
      <c r="E77" s="113" t="s">
        <v>113</v>
      </c>
      <c r="F77" s="113" t="s">
        <v>114</v>
      </c>
      <c r="G77" s="121">
        <v>196.24</v>
      </c>
      <c r="H77" s="117" t="s">
        <v>90</v>
      </c>
      <c r="I77" s="122"/>
    </row>
    <row r="78" ht="18.0" customHeight="1">
      <c r="A78" s="1"/>
      <c r="B78" s="113"/>
      <c r="C78" s="138"/>
      <c r="D78" s="120">
        <v>46135.0</v>
      </c>
      <c r="E78" s="113" t="s">
        <v>173</v>
      </c>
      <c r="F78" s="113" t="s">
        <v>114</v>
      </c>
      <c r="G78" s="121">
        <v>49.0</v>
      </c>
      <c r="H78" s="117" t="s">
        <v>90</v>
      </c>
      <c r="I78" s="122"/>
    </row>
    <row r="79" ht="18.0" customHeight="1">
      <c r="A79" s="1"/>
      <c r="B79" s="113"/>
      <c r="C79" s="138"/>
      <c r="D79" s="120">
        <v>46135.0</v>
      </c>
      <c r="E79" s="113" t="s">
        <v>158</v>
      </c>
      <c r="F79" s="113" t="s">
        <v>114</v>
      </c>
      <c r="G79" s="121">
        <v>5.9</v>
      </c>
      <c r="H79" s="117" t="s">
        <v>90</v>
      </c>
      <c r="I79" s="122"/>
    </row>
    <row r="80" ht="18.0" customHeight="1">
      <c r="A80" s="1"/>
      <c r="B80" s="113"/>
      <c r="C80" s="138"/>
      <c r="D80" s="120">
        <v>46135.0</v>
      </c>
      <c r="E80" s="113" t="s">
        <v>165</v>
      </c>
      <c r="F80" s="113" t="s">
        <v>166</v>
      </c>
      <c r="G80" s="121">
        <v>100.0</v>
      </c>
      <c r="H80" s="117" t="s">
        <v>90</v>
      </c>
      <c r="I80" s="122"/>
    </row>
    <row r="81" ht="18.0" customHeight="1">
      <c r="A81" s="1"/>
      <c r="B81" s="113"/>
      <c r="C81" s="138"/>
      <c r="D81" s="120">
        <v>46136.0</v>
      </c>
      <c r="E81" s="113" t="s">
        <v>113</v>
      </c>
      <c r="F81" s="113" t="s">
        <v>114</v>
      </c>
      <c r="G81" s="121">
        <v>108.9</v>
      </c>
      <c r="H81" s="117" t="s">
        <v>90</v>
      </c>
      <c r="I81" s="122"/>
    </row>
    <row r="82" ht="18.0" customHeight="1">
      <c r="A82" s="1"/>
      <c r="B82" s="113"/>
      <c r="C82" s="138"/>
      <c r="D82" s="120">
        <v>46137.0</v>
      </c>
      <c r="E82" s="113" t="s">
        <v>174</v>
      </c>
      <c r="F82" s="113" t="s">
        <v>114</v>
      </c>
      <c r="G82" s="121">
        <v>60.0</v>
      </c>
      <c r="H82" s="117" t="s">
        <v>90</v>
      </c>
      <c r="I82" s="122"/>
    </row>
    <row r="83" ht="18.0" customHeight="1">
      <c r="A83" s="1"/>
      <c r="B83" s="113"/>
      <c r="C83" s="138"/>
      <c r="D83" s="120">
        <v>46138.0</v>
      </c>
      <c r="E83" s="113" t="s">
        <v>175</v>
      </c>
      <c r="F83" s="113" t="s">
        <v>114</v>
      </c>
      <c r="G83" s="121">
        <v>126.81</v>
      </c>
      <c r="H83" s="117" t="s">
        <v>90</v>
      </c>
      <c r="I83" s="122"/>
    </row>
    <row r="84" ht="18.0" customHeight="1">
      <c r="A84" s="1"/>
      <c r="B84" s="113"/>
      <c r="C84" s="138"/>
      <c r="D84" s="120">
        <v>46139.0</v>
      </c>
      <c r="E84" s="113" t="s">
        <v>129</v>
      </c>
      <c r="F84" s="113" t="s">
        <v>109</v>
      </c>
      <c r="G84" s="121">
        <v>119.9</v>
      </c>
      <c r="H84" s="117" t="s">
        <v>90</v>
      </c>
      <c r="I84" s="122"/>
    </row>
    <row r="85" ht="18.0" customHeight="1">
      <c r="A85" s="1"/>
      <c r="B85" s="113"/>
      <c r="C85" s="138"/>
      <c r="D85" s="120">
        <v>46140.0</v>
      </c>
      <c r="E85" s="113" t="s">
        <v>113</v>
      </c>
      <c r="F85" s="113" t="s">
        <v>114</v>
      </c>
      <c r="G85" s="121">
        <v>65.98</v>
      </c>
      <c r="H85" s="117" t="s">
        <v>90</v>
      </c>
      <c r="I85" s="122"/>
    </row>
    <row r="86" ht="18.0" customHeight="1">
      <c r="A86" s="1"/>
      <c r="B86" s="113"/>
      <c r="C86" s="138"/>
      <c r="D86" s="120">
        <v>46140.0</v>
      </c>
      <c r="E86" s="113" t="s">
        <v>176</v>
      </c>
      <c r="F86" s="113" t="s">
        <v>119</v>
      </c>
      <c r="G86" s="121">
        <v>705.0</v>
      </c>
      <c r="H86" s="117" t="s">
        <v>90</v>
      </c>
      <c r="I86" s="122"/>
    </row>
    <row r="87" ht="18.0" customHeight="1">
      <c r="A87" s="1"/>
      <c r="B87" s="113"/>
      <c r="C87" s="138"/>
      <c r="D87" s="120">
        <v>46141.0</v>
      </c>
      <c r="E87" s="113" t="s">
        <v>113</v>
      </c>
      <c r="F87" s="113" t="s">
        <v>114</v>
      </c>
      <c r="G87" s="121">
        <v>20.2</v>
      </c>
      <c r="H87" s="117" t="s">
        <v>90</v>
      </c>
      <c r="I87" s="122"/>
    </row>
    <row r="88" ht="18.0" customHeight="1">
      <c r="A88" s="1"/>
      <c r="B88" s="113"/>
      <c r="C88" s="138"/>
      <c r="D88" s="120">
        <v>46142.0</v>
      </c>
      <c r="E88" s="113" t="s">
        <v>129</v>
      </c>
      <c r="F88" s="113" t="s">
        <v>109</v>
      </c>
      <c r="G88" s="121">
        <v>40.0</v>
      </c>
      <c r="H88" s="117" t="s">
        <v>90</v>
      </c>
      <c r="I88" s="122"/>
    </row>
    <row r="89" ht="18.0" customHeight="1">
      <c r="A89" s="1"/>
      <c r="B89" s="113"/>
      <c r="C89" s="138"/>
      <c r="D89" s="139"/>
      <c r="E89" s="122"/>
      <c r="F89" s="113"/>
      <c r="G89" s="121"/>
      <c r="H89" s="68"/>
      <c r="I89" s="122"/>
    </row>
    <row r="90" ht="18.0" customHeight="1">
      <c r="A90" s="1"/>
      <c r="B90" s="22" t="s">
        <v>77</v>
      </c>
      <c r="C90" s="140">
        <v>46144.0</v>
      </c>
      <c r="D90" s="140"/>
      <c r="E90" s="22" t="s">
        <v>115</v>
      </c>
      <c r="F90" s="22" t="s">
        <v>114</v>
      </c>
      <c r="G90" s="141">
        <v>5.95</v>
      </c>
      <c r="H90" s="117"/>
      <c r="I90" s="20"/>
    </row>
    <row r="91" ht="18.0" customHeight="1">
      <c r="A91" s="1"/>
      <c r="B91" s="22" t="s">
        <v>77</v>
      </c>
      <c r="C91" s="140">
        <v>46151.0</v>
      </c>
      <c r="D91" s="140"/>
      <c r="E91" s="22" t="s">
        <v>116</v>
      </c>
      <c r="F91" s="22" t="s">
        <v>117</v>
      </c>
      <c r="G91" s="141">
        <v>66.12</v>
      </c>
      <c r="H91" s="117"/>
      <c r="I91" s="20"/>
    </row>
    <row r="92" ht="18.0" customHeight="1">
      <c r="A92" s="1"/>
      <c r="B92" s="22" t="s">
        <v>77</v>
      </c>
      <c r="C92" s="140">
        <v>46152.0</v>
      </c>
      <c r="D92" s="140"/>
      <c r="E92" s="22" t="s">
        <v>118</v>
      </c>
      <c r="F92" s="20" t="s">
        <v>119</v>
      </c>
      <c r="G92" s="141">
        <v>1300.0</v>
      </c>
      <c r="H92" s="117" t="s">
        <v>90</v>
      </c>
      <c r="I92" s="20"/>
    </row>
    <row r="93" ht="18.0" customHeight="1">
      <c r="A93" s="1"/>
      <c r="B93" s="22" t="s">
        <v>77</v>
      </c>
      <c r="C93" s="140">
        <v>46152.0</v>
      </c>
      <c r="D93" s="140"/>
      <c r="E93" s="20" t="s">
        <v>120</v>
      </c>
      <c r="F93" s="20" t="s">
        <v>119</v>
      </c>
      <c r="G93" s="141">
        <v>0.0</v>
      </c>
      <c r="H93" s="68"/>
      <c r="I93" s="20"/>
    </row>
    <row r="94" ht="18.0" customHeight="1">
      <c r="A94" s="1"/>
      <c r="B94" s="22" t="s">
        <v>77</v>
      </c>
      <c r="C94" s="140">
        <v>46152.0</v>
      </c>
      <c r="D94" s="140"/>
      <c r="E94" s="22" t="s">
        <v>121</v>
      </c>
      <c r="F94" s="20" t="s">
        <v>119</v>
      </c>
      <c r="G94" s="141">
        <v>290.0</v>
      </c>
      <c r="H94" s="117" t="s">
        <v>81</v>
      </c>
      <c r="I94" s="20"/>
    </row>
    <row r="95" ht="18.0" customHeight="1">
      <c r="A95" s="1"/>
      <c r="B95" s="22" t="s">
        <v>77</v>
      </c>
      <c r="C95" s="140">
        <v>46152.0</v>
      </c>
      <c r="D95" s="140"/>
      <c r="E95" s="22" t="s">
        <v>122</v>
      </c>
      <c r="F95" s="22" t="s">
        <v>117</v>
      </c>
      <c r="G95" s="21"/>
      <c r="H95" s="68"/>
      <c r="I95" s="20"/>
    </row>
    <row r="96" ht="18.0" customHeight="1">
      <c r="A96" s="1"/>
      <c r="B96" s="22" t="s">
        <v>77</v>
      </c>
      <c r="C96" s="140">
        <v>46154.0</v>
      </c>
      <c r="D96" s="140"/>
      <c r="E96" s="22" t="s">
        <v>140</v>
      </c>
      <c r="F96" s="20" t="s">
        <v>119</v>
      </c>
      <c r="G96" s="141">
        <v>220.0</v>
      </c>
      <c r="H96" s="117" t="s">
        <v>81</v>
      </c>
      <c r="I96" s="20"/>
    </row>
    <row r="97" ht="18.0" customHeight="1">
      <c r="A97" s="1"/>
      <c r="B97" s="22" t="s">
        <v>77</v>
      </c>
      <c r="C97" s="140">
        <v>46155.0</v>
      </c>
      <c r="D97" s="140"/>
      <c r="E97" s="22" t="s">
        <v>125</v>
      </c>
      <c r="F97" s="22" t="s">
        <v>126</v>
      </c>
      <c r="G97" s="21"/>
      <c r="H97" s="68"/>
      <c r="I97" s="20"/>
    </row>
    <row r="98" ht="18.0" customHeight="1">
      <c r="A98" s="1"/>
      <c r="B98" s="22" t="s">
        <v>77</v>
      </c>
      <c r="C98" s="140">
        <v>46157.0</v>
      </c>
      <c r="D98" s="140"/>
      <c r="E98" s="22" t="s">
        <v>123</v>
      </c>
      <c r="F98" s="20" t="s">
        <v>119</v>
      </c>
      <c r="G98" s="21"/>
      <c r="H98" s="68"/>
      <c r="I98" s="20"/>
    </row>
    <row r="99" ht="18.0" customHeight="1">
      <c r="A99" s="1"/>
      <c r="B99" s="22" t="s">
        <v>77</v>
      </c>
      <c r="C99" s="140">
        <v>46157.0</v>
      </c>
      <c r="D99" s="140"/>
      <c r="E99" s="22" t="s">
        <v>124</v>
      </c>
      <c r="F99" s="20" t="s">
        <v>119</v>
      </c>
      <c r="G99" s="21"/>
      <c r="H99" s="68"/>
      <c r="I99" s="20"/>
    </row>
    <row r="100" ht="18.0" customHeight="1">
      <c r="A100" s="1"/>
      <c r="B100" s="22" t="s">
        <v>77</v>
      </c>
      <c r="C100" s="140">
        <v>46162.0</v>
      </c>
      <c r="D100" s="140"/>
      <c r="E100" s="22" t="s">
        <v>127</v>
      </c>
      <c r="F100" s="22" t="s">
        <v>128</v>
      </c>
      <c r="G100" s="141">
        <v>25.92</v>
      </c>
      <c r="H100" s="117"/>
      <c r="I100" s="20"/>
    </row>
    <row r="101" ht="18.0" customHeight="1">
      <c r="A101" s="1"/>
      <c r="B101" s="22" t="s">
        <v>77</v>
      </c>
      <c r="C101" s="140">
        <v>46168.0</v>
      </c>
      <c r="D101" s="140"/>
      <c r="E101" s="22" t="s">
        <v>141</v>
      </c>
      <c r="F101" s="20" t="s">
        <v>119</v>
      </c>
      <c r="G101" s="141">
        <v>220.0</v>
      </c>
      <c r="H101" s="117" t="s">
        <v>81</v>
      </c>
      <c r="I101" s="20"/>
    </row>
    <row r="102" ht="18.0" customHeight="1">
      <c r="A102" s="1"/>
      <c r="B102" s="142" t="s">
        <v>77</v>
      </c>
      <c r="C102" s="143"/>
      <c r="D102" s="143">
        <v>46147.0</v>
      </c>
      <c r="E102" s="142" t="s">
        <v>129</v>
      </c>
      <c r="F102" s="142" t="s">
        <v>109</v>
      </c>
      <c r="G102" s="144">
        <v>67.1</v>
      </c>
      <c r="H102" s="145" t="s">
        <v>90</v>
      </c>
      <c r="I102" s="118"/>
    </row>
    <row r="103" ht="18.0" customHeight="1">
      <c r="A103" s="1"/>
      <c r="B103" s="142" t="s">
        <v>77</v>
      </c>
      <c r="C103" s="143"/>
      <c r="D103" s="143">
        <v>46145.0</v>
      </c>
      <c r="E103" s="146" t="s">
        <v>130</v>
      </c>
      <c r="F103" s="142" t="s">
        <v>114</v>
      </c>
      <c r="G103" s="144">
        <v>11.09</v>
      </c>
      <c r="H103" s="145" t="s">
        <v>90</v>
      </c>
      <c r="I103" s="118"/>
    </row>
    <row r="104" ht="18.0" customHeight="1">
      <c r="A104" s="1"/>
      <c r="B104" s="142" t="s">
        <v>77</v>
      </c>
      <c r="C104" s="143"/>
      <c r="D104" s="143">
        <v>46148.0</v>
      </c>
      <c r="E104" s="142" t="s">
        <v>152</v>
      </c>
      <c r="F104" s="142" t="s">
        <v>114</v>
      </c>
      <c r="G104" s="144">
        <v>154.6</v>
      </c>
      <c r="H104" s="145" t="s">
        <v>90</v>
      </c>
      <c r="I104" s="118"/>
    </row>
    <row r="105" ht="18.0" customHeight="1">
      <c r="A105" s="1"/>
      <c r="B105" s="142" t="s">
        <v>77</v>
      </c>
      <c r="C105" s="147"/>
      <c r="D105" s="143"/>
      <c r="E105" s="146" t="s">
        <v>132</v>
      </c>
      <c r="F105" s="142" t="s">
        <v>126</v>
      </c>
      <c r="G105" s="148"/>
      <c r="H105" s="19"/>
      <c r="I105" s="69"/>
    </row>
    <row r="106" ht="18.0" customHeight="1">
      <c r="A106" s="1"/>
      <c r="B106" s="142" t="s">
        <v>77</v>
      </c>
      <c r="C106" s="147"/>
      <c r="D106" s="143">
        <v>46156.0</v>
      </c>
      <c r="E106" s="146" t="s">
        <v>133</v>
      </c>
      <c r="F106" s="142" t="s">
        <v>126</v>
      </c>
      <c r="G106" s="144">
        <v>4.99</v>
      </c>
      <c r="H106" s="19"/>
      <c r="I106" s="69"/>
    </row>
    <row r="107" ht="18.0" customHeight="1">
      <c r="A107" s="1"/>
      <c r="B107" s="142" t="s">
        <v>77</v>
      </c>
      <c r="C107" s="147"/>
      <c r="D107" s="143"/>
      <c r="E107" s="146" t="s">
        <v>135</v>
      </c>
      <c r="F107" s="142" t="s">
        <v>128</v>
      </c>
      <c r="G107" s="148"/>
      <c r="H107" s="19"/>
      <c r="I107" s="129"/>
    </row>
    <row r="108" ht="18.0" customHeight="1">
      <c r="A108" s="1"/>
      <c r="B108" s="142" t="s">
        <v>77</v>
      </c>
      <c r="C108" s="147"/>
      <c r="D108" s="143"/>
      <c r="E108" s="146" t="s">
        <v>136</v>
      </c>
      <c r="F108" s="142" t="s">
        <v>137</v>
      </c>
      <c r="G108" s="148"/>
      <c r="H108" s="19"/>
      <c r="I108" s="129"/>
    </row>
    <row r="109" ht="18.0" customHeight="1">
      <c r="A109" s="1"/>
      <c r="B109" s="142" t="s">
        <v>77</v>
      </c>
      <c r="C109" s="147"/>
      <c r="D109" s="143"/>
      <c r="E109" s="146" t="s">
        <v>138</v>
      </c>
      <c r="F109" s="142" t="s">
        <v>139</v>
      </c>
      <c r="G109" s="148"/>
      <c r="H109" s="19"/>
      <c r="I109" s="136"/>
    </row>
    <row r="110" ht="18.0" customHeight="1">
      <c r="A110" s="1"/>
      <c r="B110" s="142" t="s">
        <v>77</v>
      </c>
      <c r="C110" s="147"/>
      <c r="D110" s="143"/>
      <c r="E110" s="142" t="s">
        <v>143</v>
      </c>
      <c r="F110" s="142" t="s">
        <v>114</v>
      </c>
      <c r="G110" s="148"/>
      <c r="H110" s="19"/>
      <c r="I110" s="66"/>
    </row>
    <row r="111" ht="18.0" customHeight="1">
      <c r="A111" s="1"/>
      <c r="B111" s="142" t="s">
        <v>77</v>
      </c>
      <c r="C111" s="147"/>
      <c r="D111" s="143"/>
      <c r="E111" s="142" t="s">
        <v>144</v>
      </c>
      <c r="F111" s="142" t="s">
        <v>109</v>
      </c>
      <c r="G111" s="148"/>
      <c r="H111" s="19"/>
      <c r="I111" s="122"/>
    </row>
    <row r="112" ht="18.0" customHeight="1">
      <c r="A112" s="1"/>
      <c r="B112" s="142" t="s">
        <v>77</v>
      </c>
      <c r="C112" s="147"/>
      <c r="D112" s="149">
        <v>46154.0</v>
      </c>
      <c r="E112" s="142" t="s">
        <v>108</v>
      </c>
      <c r="F112" s="142" t="s">
        <v>109</v>
      </c>
      <c r="G112" s="144">
        <v>48.44</v>
      </c>
      <c r="H112" s="19"/>
      <c r="I112" s="122"/>
    </row>
    <row r="113" ht="18.0" customHeight="1">
      <c r="A113" s="1"/>
      <c r="B113" s="142" t="s">
        <v>77</v>
      </c>
      <c r="C113" s="147"/>
      <c r="D113" s="143"/>
      <c r="E113" s="142" t="s">
        <v>145</v>
      </c>
      <c r="F113" s="142" t="s">
        <v>109</v>
      </c>
      <c r="G113" s="148"/>
      <c r="H113" s="19"/>
      <c r="I113" s="122"/>
    </row>
    <row r="114" ht="18.0" customHeight="1">
      <c r="A114" s="1"/>
      <c r="B114" s="142" t="s">
        <v>77</v>
      </c>
      <c r="C114" s="147"/>
      <c r="D114" s="143"/>
      <c r="E114" s="142" t="s">
        <v>146</v>
      </c>
      <c r="F114" s="142" t="s">
        <v>148</v>
      </c>
      <c r="G114" s="148"/>
      <c r="H114" s="19"/>
      <c r="I114" s="122"/>
    </row>
    <row r="115" ht="18.0" customHeight="1">
      <c r="A115" s="1"/>
      <c r="B115" s="142" t="s">
        <v>77</v>
      </c>
      <c r="C115" s="143"/>
      <c r="D115" s="143">
        <v>46154.0</v>
      </c>
      <c r="E115" s="142" t="s">
        <v>129</v>
      </c>
      <c r="F115" s="142" t="s">
        <v>109</v>
      </c>
      <c r="G115" s="144">
        <v>40.0</v>
      </c>
      <c r="H115" s="145" t="s">
        <v>90</v>
      </c>
      <c r="I115" s="118"/>
    </row>
    <row r="116" ht="18.0" customHeight="1">
      <c r="A116" s="1"/>
      <c r="B116" s="69"/>
      <c r="C116" s="100"/>
      <c r="D116" s="101"/>
      <c r="E116" s="69"/>
      <c r="F116" s="113"/>
      <c r="G116" s="70"/>
      <c r="H116" s="68"/>
      <c r="I116" s="69"/>
    </row>
    <row r="117" ht="18.0" customHeight="1">
      <c r="A117" s="1"/>
      <c r="B117" s="69"/>
      <c r="C117" s="100"/>
      <c r="D117" s="101"/>
      <c r="E117" s="69"/>
      <c r="F117" s="113"/>
      <c r="G117" s="70"/>
      <c r="H117" s="68"/>
      <c r="I117" s="69"/>
    </row>
    <row r="118" ht="18.0" customHeight="1">
      <c r="A118" s="1"/>
      <c r="B118" s="129"/>
      <c r="C118" s="133"/>
      <c r="D118" s="150"/>
      <c r="E118" s="129"/>
      <c r="F118" s="113"/>
      <c r="G118" s="134"/>
      <c r="H118" s="68"/>
      <c r="I118" s="129"/>
    </row>
    <row r="119" ht="18.0" customHeight="1">
      <c r="A119" s="1"/>
      <c r="B119" s="129"/>
      <c r="C119" s="133"/>
      <c r="D119" s="150"/>
      <c r="E119" s="129"/>
      <c r="F119" s="113"/>
      <c r="G119" s="134"/>
      <c r="H119" s="68"/>
      <c r="I119" s="129"/>
    </row>
    <row r="120" ht="18.0" customHeight="1">
      <c r="A120" s="1"/>
      <c r="B120" s="136"/>
      <c r="C120" s="135"/>
      <c r="D120" s="151"/>
      <c r="E120" s="136"/>
      <c r="F120" s="113"/>
      <c r="G120" s="137"/>
      <c r="H120" s="68"/>
      <c r="I120" s="136"/>
    </row>
    <row r="121" ht="18.0" customHeight="1">
      <c r="A121" s="1"/>
      <c r="B121" s="66"/>
      <c r="C121" s="98"/>
      <c r="D121" s="99"/>
      <c r="E121" s="66"/>
      <c r="F121" s="113"/>
      <c r="G121" s="67"/>
      <c r="H121" s="68"/>
      <c r="I121" s="66"/>
    </row>
    <row r="122" ht="18.0" customHeight="1">
      <c r="A122" s="1"/>
      <c r="B122" s="122"/>
      <c r="C122" s="138"/>
      <c r="D122" s="139"/>
      <c r="E122" s="122"/>
      <c r="F122" s="113"/>
      <c r="G122" s="125"/>
      <c r="H122" s="68"/>
      <c r="I122" s="122"/>
    </row>
    <row r="123" ht="18.0" customHeight="1">
      <c r="A123" s="1"/>
      <c r="B123" s="122"/>
      <c r="C123" s="138"/>
      <c r="D123" s="139"/>
      <c r="E123" s="122"/>
      <c r="F123" s="113"/>
      <c r="G123" s="125"/>
      <c r="H123" s="68"/>
      <c r="I123" s="122"/>
    </row>
    <row r="124" ht="18.0" customHeight="1">
      <c r="A124" s="1"/>
      <c r="B124" s="122"/>
      <c r="C124" s="138"/>
      <c r="D124" s="139"/>
      <c r="E124" s="122"/>
      <c r="F124" s="113"/>
      <c r="G124" s="125"/>
      <c r="H124" s="68"/>
      <c r="I124" s="122"/>
    </row>
    <row r="125" ht="18.0" customHeight="1">
      <c r="A125" s="1"/>
      <c r="B125" s="122"/>
      <c r="C125" s="138"/>
      <c r="D125" s="139"/>
      <c r="E125" s="122"/>
      <c r="F125" s="113"/>
      <c r="G125" s="125"/>
      <c r="H125" s="68"/>
      <c r="I125" s="122"/>
    </row>
    <row r="126" ht="18.0" customHeight="1">
      <c r="A126" s="1"/>
      <c r="B126" s="118"/>
      <c r="C126" s="130"/>
      <c r="D126" s="152"/>
      <c r="E126" s="118"/>
      <c r="F126" s="113"/>
      <c r="G126" s="153"/>
      <c r="H126" s="68"/>
      <c r="I126" s="118"/>
    </row>
    <row r="127" ht="18.0" customHeight="1">
      <c r="A127" s="1"/>
      <c r="B127" s="118"/>
      <c r="C127" s="130"/>
      <c r="D127" s="152"/>
      <c r="E127" s="118"/>
      <c r="F127" s="113"/>
      <c r="G127" s="153"/>
      <c r="H127" s="68"/>
      <c r="I127" s="118"/>
    </row>
    <row r="128" ht="18.0" customHeight="1">
      <c r="A128" s="1"/>
      <c r="B128" s="69"/>
      <c r="C128" s="100"/>
      <c r="D128" s="101"/>
      <c r="E128" s="69"/>
      <c r="F128" s="113"/>
      <c r="G128" s="70"/>
      <c r="H128" s="68"/>
      <c r="I128" s="69"/>
    </row>
    <row r="129" ht="18.0" customHeight="1">
      <c r="A129" s="1"/>
      <c r="B129" s="69"/>
      <c r="C129" s="100"/>
      <c r="D129" s="101"/>
      <c r="E129" s="69"/>
      <c r="F129" s="113"/>
      <c r="G129" s="70"/>
      <c r="H129" s="68"/>
      <c r="I129" s="69"/>
    </row>
    <row r="130" ht="18.0" customHeight="1">
      <c r="A130" s="1"/>
      <c r="B130" s="129"/>
      <c r="C130" s="133"/>
      <c r="D130" s="150"/>
      <c r="E130" s="129"/>
      <c r="F130" s="113"/>
      <c r="G130" s="134"/>
      <c r="H130" s="68"/>
      <c r="I130" s="129"/>
    </row>
    <row r="131" ht="18.0" customHeight="1">
      <c r="A131" s="1"/>
      <c r="B131" s="129"/>
      <c r="C131" s="133"/>
      <c r="D131" s="150"/>
      <c r="E131" s="129"/>
      <c r="F131" s="113"/>
      <c r="G131" s="134"/>
      <c r="H131" s="68"/>
      <c r="I131" s="129"/>
    </row>
    <row r="132" ht="18.0" customHeight="1">
      <c r="A132" s="1"/>
      <c r="B132" s="136"/>
      <c r="C132" s="135"/>
      <c r="D132" s="151"/>
      <c r="E132" s="136"/>
      <c r="F132" s="113"/>
      <c r="G132" s="137"/>
      <c r="H132" s="68"/>
      <c r="I132" s="136"/>
    </row>
    <row r="133" ht="18.0" customHeight="1">
      <c r="A133" s="1"/>
      <c r="B133" s="66"/>
      <c r="C133" s="98"/>
      <c r="D133" s="99"/>
      <c r="E133" s="66"/>
      <c r="F133" s="113"/>
      <c r="G133" s="67"/>
      <c r="H133" s="68"/>
      <c r="I133" s="66"/>
    </row>
    <row r="134" ht="18.0" customHeight="1">
      <c r="A134" s="1"/>
      <c r="B134" s="122"/>
      <c r="C134" s="138"/>
      <c r="D134" s="139"/>
      <c r="E134" s="122"/>
      <c r="F134" s="113"/>
      <c r="G134" s="125"/>
      <c r="H134" s="68"/>
      <c r="I134" s="122"/>
    </row>
    <row r="135" ht="18.0" customHeight="1">
      <c r="A135" s="1"/>
      <c r="B135" s="122"/>
      <c r="C135" s="138"/>
      <c r="D135" s="139"/>
      <c r="E135" s="122"/>
      <c r="F135" s="113"/>
      <c r="G135" s="125"/>
      <c r="H135" s="68"/>
      <c r="I135" s="122"/>
    </row>
    <row r="136" ht="18.0" customHeight="1">
      <c r="A136" s="1"/>
      <c r="B136" s="122"/>
      <c r="C136" s="138"/>
      <c r="D136" s="139"/>
      <c r="E136" s="122"/>
      <c r="F136" s="113"/>
      <c r="G136" s="125"/>
      <c r="H136" s="68"/>
      <c r="I136" s="122"/>
    </row>
    <row r="137" ht="18.0" customHeight="1">
      <c r="A137" s="1"/>
      <c r="B137" s="122"/>
      <c r="C137" s="138"/>
      <c r="D137" s="139"/>
      <c r="E137" s="122"/>
      <c r="F137" s="113"/>
      <c r="G137" s="125"/>
      <c r="H137" s="68"/>
      <c r="I137" s="122"/>
    </row>
    <row r="138" ht="18.0" customHeight="1">
      <c r="A138" s="1"/>
      <c r="B138" s="118"/>
      <c r="C138" s="130"/>
      <c r="D138" s="152"/>
      <c r="E138" s="118"/>
      <c r="F138" s="113"/>
      <c r="G138" s="153"/>
      <c r="H138" s="68"/>
      <c r="I138" s="118"/>
    </row>
    <row r="139" ht="18.0" customHeight="1">
      <c r="A139" s="1"/>
      <c r="B139" s="118"/>
      <c r="C139" s="130"/>
      <c r="D139" s="152"/>
      <c r="E139" s="118"/>
      <c r="F139" s="113"/>
      <c r="G139" s="153"/>
      <c r="H139" s="68"/>
      <c r="I139" s="118"/>
    </row>
    <row r="140" ht="18.0" customHeight="1">
      <c r="A140" s="1"/>
      <c r="B140" s="69"/>
      <c r="C140" s="100"/>
      <c r="D140" s="101"/>
      <c r="E140" s="69"/>
      <c r="F140" s="113"/>
      <c r="G140" s="70"/>
      <c r="H140" s="68"/>
      <c r="I140" s="69"/>
    </row>
    <row r="141" ht="18.0" customHeight="1">
      <c r="A141" s="1"/>
      <c r="B141" s="69"/>
      <c r="C141" s="100"/>
      <c r="D141" s="101"/>
      <c r="E141" s="69"/>
      <c r="F141" s="113"/>
      <c r="G141" s="70"/>
      <c r="H141" s="68"/>
      <c r="I141" s="69"/>
    </row>
    <row r="142" ht="18.0" customHeight="1">
      <c r="A142" s="1"/>
      <c r="B142" s="129"/>
      <c r="C142" s="133"/>
      <c r="D142" s="150"/>
      <c r="E142" s="129"/>
      <c r="F142" s="113"/>
      <c r="G142" s="134"/>
      <c r="H142" s="68"/>
      <c r="I142" s="129"/>
    </row>
    <row r="143" ht="18.0" customHeight="1">
      <c r="A143" s="1"/>
      <c r="B143" s="129"/>
      <c r="C143" s="133"/>
      <c r="D143" s="150"/>
      <c r="E143" s="129"/>
      <c r="F143" s="113"/>
      <c r="G143" s="134"/>
      <c r="H143" s="68"/>
      <c r="I143" s="129"/>
    </row>
    <row r="144" ht="18.0" customHeight="1">
      <c r="A144" s="1"/>
      <c r="B144" s="136"/>
      <c r="C144" s="135"/>
      <c r="D144" s="151"/>
      <c r="E144" s="136"/>
      <c r="F144" s="113"/>
      <c r="G144" s="137"/>
      <c r="H144" s="68"/>
      <c r="I144" s="136"/>
    </row>
    <row r="145" ht="18.0" customHeight="1">
      <c r="A145" s="1"/>
      <c r="B145" s="66"/>
      <c r="C145" s="98"/>
      <c r="D145" s="99"/>
      <c r="E145" s="66"/>
      <c r="F145" s="113"/>
      <c r="G145" s="67"/>
      <c r="H145" s="68"/>
      <c r="I145" s="66"/>
    </row>
    <row r="146" ht="18.0" customHeight="1">
      <c r="A146" s="1"/>
      <c r="B146" s="122"/>
      <c r="C146" s="138"/>
      <c r="D146" s="139"/>
      <c r="E146" s="122"/>
      <c r="F146" s="113"/>
      <c r="G146" s="125"/>
      <c r="H146" s="68"/>
      <c r="I146" s="122"/>
    </row>
    <row r="147" ht="18.0" customHeight="1">
      <c r="A147" s="1"/>
      <c r="B147" s="122"/>
      <c r="C147" s="138"/>
      <c r="D147" s="139"/>
      <c r="E147" s="122"/>
      <c r="F147" s="113"/>
      <c r="G147" s="125"/>
      <c r="H147" s="68"/>
      <c r="I147" s="122"/>
    </row>
    <row r="148" ht="18.0" customHeight="1">
      <c r="A148" s="1"/>
      <c r="B148" s="122"/>
      <c r="C148" s="138"/>
      <c r="D148" s="139"/>
      <c r="E148" s="122"/>
      <c r="F148" s="113"/>
      <c r="G148" s="125"/>
      <c r="H148" s="68"/>
      <c r="I148" s="122"/>
    </row>
    <row r="149" ht="18.0" customHeight="1">
      <c r="A149" s="1"/>
      <c r="B149" s="122"/>
      <c r="C149" s="138"/>
      <c r="D149" s="139"/>
      <c r="E149" s="122"/>
      <c r="F149" s="113"/>
      <c r="G149" s="125"/>
      <c r="H149" s="68"/>
      <c r="I149" s="122"/>
    </row>
    <row r="150" ht="18.0" customHeight="1">
      <c r="A150" s="1"/>
      <c r="B150" s="118"/>
      <c r="C150" s="130"/>
      <c r="D150" s="152"/>
      <c r="E150" s="118"/>
      <c r="F150" s="113"/>
      <c r="G150" s="153"/>
      <c r="H150" s="68"/>
      <c r="I150" s="118"/>
    </row>
    <row r="151" ht="18.0" customHeight="1">
      <c r="A151" s="1"/>
      <c r="B151" s="118"/>
      <c r="C151" s="130"/>
      <c r="D151" s="152"/>
      <c r="E151" s="118"/>
      <c r="F151" s="113"/>
      <c r="G151" s="153"/>
      <c r="H151" s="68"/>
      <c r="I151" s="118"/>
    </row>
    <row r="152" ht="18.0" customHeight="1">
      <c r="A152" s="1"/>
      <c r="B152" s="69"/>
      <c r="C152" s="100"/>
      <c r="D152" s="101"/>
      <c r="E152" s="69"/>
      <c r="F152" s="113"/>
      <c r="G152" s="70"/>
      <c r="H152" s="68"/>
      <c r="I152" s="69"/>
    </row>
    <row r="153" ht="18.0" customHeight="1">
      <c r="A153" s="1"/>
      <c r="B153" s="69"/>
      <c r="C153" s="100"/>
      <c r="D153" s="101"/>
      <c r="E153" s="69"/>
      <c r="F153" s="113"/>
      <c r="G153" s="70"/>
      <c r="H153" s="68"/>
      <c r="I153" s="69"/>
    </row>
    <row r="154" ht="18.0" customHeight="1">
      <c r="A154" s="1"/>
      <c r="B154" s="129"/>
      <c r="C154" s="133"/>
      <c r="D154" s="150"/>
      <c r="E154" s="129"/>
      <c r="F154" s="113"/>
      <c r="G154" s="134"/>
      <c r="H154" s="68"/>
      <c r="I154" s="129"/>
    </row>
    <row r="155" ht="18.0" customHeight="1">
      <c r="A155" s="1"/>
      <c r="B155" s="129"/>
      <c r="C155" s="133"/>
      <c r="D155" s="150"/>
      <c r="E155" s="129"/>
      <c r="F155" s="113"/>
      <c r="G155" s="134"/>
      <c r="H155" s="68"/>
      <c r="I155" s="129"/>
    </row>
    <row r="156" ht="18.0" customHeight="1">
      <c r="A156" s="1"/>
      <c r="B156" s="136"/>
      <c r="C156" s="135"/>
      <c r="D156" s="151"/>
      <c r="E156" s="136"/>
      <c r="F156" s="113"/>
      <c r="G156" s="137"/>
      <c r="H156" s="68"/>
      <c r="I156" s="136"/>
    </row>
    <row r="157" ht="18.0" customHeight="1">
      <c r="A157" s="1"/>
      <c r="B157" s="66"/>
      <c r="C157" s="98"/>
      <c r="D157" s="99"/>
      <c r="E157" s="66"/>
      <c r="F157" s="113"/>
      <c r="G157" s="67"/>
      <c r="H157" s="68"/>
      <c r="I157" s="66"/>
    </row>
    <row r="158" ht="18.0" customHeight="1">
      <c r="A158" s="1"/>
      <c r="B158" s="122"/>
      <c r="C158" s="138"/>
      <c r="D158" s="139"/>
      <c r="E158" s="122"/>
      <c r="F158" s="113"/>
      <c r="G158" s="125"/>
      <c r="H158" s="68"/>
      <c r="I158" s="122"/>
    </row>
    <row r="159" ht="18.0" customHeight="1">
      <c r="A159" s="1"/>
      <c r="B159" s="122"/>
      <c r="C159" s="138"/>
      <c r="D159" s="139"/>
      <c r="E159" s="122"/>
      <c r="F159" s="113"/>
      <c r="G159" s="125"/>
      <c r="H159" s="68"/>
      <c r="I159" s="122"/>
    </row>
    <row r="160" ht="18.0" customHeight="1">
      <c r="A160" s="1"/>
      <c r="B160" s="122"/>
      <c r="C160" s="138"/>
      <c r="D160" s="139"/>
      <c r="E160" s="122"/>
      <c r="F160" s="113"/>
      <c r="G160" s="125"/>
      <c r="H160" s="68"/>
      <c r="I160" s="122"/>
    </row>
    <row r="161" ht="18.0" customHeight="1">
      <c r="A161" s="1"/>
      <c r="B161" s="122"/>
      <c r="C161" s="138"/>
      <c r="D161" s="139"/>
      <c r="E161" s="122"/>
      <c r="F161" s="113"/>
      <c r="G161" s="125"/>
      <c r="H161" s="68"/>
      <c r="I161" s="122"/>
    </row>
    <row r="162" ht="18.0" customHeight="1">
      <c r="A162" s="1"/>
      <c r="B162" s="118"/>
      <c r="C162" s="130"/>
      <c r="D162" s="152"/>
      <c r="E162" s="118"/>
      <c r="F162" s="113"/>
      <c r="G162" s="153"/>
      <c r="H162" s="68"/>
      <c r="I162" s="118"/>
    </row>
    <row r="163" ht="18.0" customHeight="1">
      <c r="A163" s="1"/>
      <c r="B163" s="118"/>
      <c r="C163" s="130"/>
      <c r="D163" s="152"/>
      <c r="E163" s="118"/>
      <c r="F163" s="113"/>
      <c r="G163" s="153"/>
      <c r="H163" s="68"/>
      <c r="I163" s="118"/>
    </row>
    <row r="164" ht="18.0" customHeight="1">
      <c r="A164" s="1"/>
      <c r="B164" s="69"/>
      <c r="C164" s="100"/>
      <c r="D164" s="101"/>
      <c r="E164" s="69"/>
      <c r="F164" s="69"/>
      <c r="G164" s="70"/>
      <c r="H164" s="68"/>
      <c r="I164" s="69"/>
    </row>
    <row r="165" ht="18.0" customHeight="1">
      <c r="A165" s="1"/>
      <c r="B165" s="69"/>
      <c r="C165" s="100"/>
      <c r="D165" s="101"/>
      <c r="E165" s="69"/>
      <c r="F165" s="69"/>
      <c r="G165" s="70"/>
      <c r="H165" s="68"/>
      <c r="I165" s="69"/>
    </row>
    <row r="166" ht="18.0" customHeight="1">
      <c r="A166" s="1"/>
      <c r="B166" s="129"/>
      <c r="C166" s="133"/>
      <c r="D166" s="150"/>
      <c r="E166" s="129"/>
      <c r="F166" s="129"/>
      <c r="G166" s="134"/>
      <c r="H166" s="68"/>
      <c r="I166" s="129"/>
    </row>
    <row r="167" ht="18.0" customHeight="1">
      <c r="A167" s="1"/>
      <c r="B167" s="129"/>
      <c r="C167" s="133"/>
      <c r="D167" s="150"/>
      <c r="E167" s="129"/>
      <c r="F167" s="129"/>
      <c r="G167" s="134"/>
      <c r="H167" s="68"/>
      <c r="I167" s="129"/>
    </row>
    <row r="168" ht="18.0" customHeight="1">
      <c r="A168" s="1"/>
      <c r="B168" s="136"/>
      <c r="C168" s="135"/>
      <c r="D168" s="151"/>
      <c r="E168" s="136"/>
      <c r="F168" s="136"/>
      <c r="G168" s="137"/>
      <c r="H168" s="68"/>
      <c r="I168" s="136"/>
    </row>
    <row r="169" ht="18.0" customHeight="1">
      <c r="A169" s="1"/>
      <c r="B169" s="66"/>
      <c r="C169" s="98"/>
      <c r="D169" s="99"/>
      <c r="E169" s="66"/>
      <c r="F169" s="66"/>
      <c r="G169" s="67"/>
      <c r="H169" s="68"/>
      <c r="I169" s="66"/>
    </row>
    <row r="170" ht="18.0" customHeight="1">
      <c r="A170" s="1"/>
      <c r="B170" s="122"/>
      <c r="C170" s="138"/>
      <c r="D170" s="139"/>
      <c r="E170" s="122"/>
      <c r="F170" s="122"/>
      <c r="G170" s="125"/>
      <c r="H170" s="68"/>
      <c r="I170" s="122"/>
    </row>
    <row r="171" ht="18.0" customHeight="1">
      <c r="A171" s="1"/>
      <c r="B171" s="122"/>
      <c r="C171" s="138"/>
      <c r="D171" s="139"/>
      <c r="E171" s="122"/>
      <c r="F171" s="122"/>
      <c r="G171" s="125"/>
      <c r="H171" s="68"/>
      <c r="I171" s="122"/>
    </row>
    <row r="172" ht="18.0" customHeight="1">
      <c r="A172" s="1"/>
      <c r="B172" s="122"/>
      <c r="C172" s="138"/>
      <c r="D172" s="139"/>
      <c r="E172" s="122"/>
      <c r="F172" s="122"/>
      <c r="G172" s="125"/>
      <c r="H172" s="68"/>
      <c r="I172" s="122"/>
    </row>
    <row r="173" ht="18.0" customHeight="1">
      <c r="A173" s="1"/>
      <c r="B173" s="122"/>
      <c r="C173" s="138"/>
      <c r="D173" s="139"/>
      <c r="E173" s="122"/>
      <c r="F173" s="122"/>
      <c r="G173" s="125"/>
      <c r="H173" s="68"/>
      <c r="I173" s="122"/>
    </row>
    <row r="174" ht="18.0" customHeight="1">
      <c r="A174" s="1"/>
      <c r="B174" s="118"/>
      <c r="C174" s="130"/>
      <c r="D174" s="152"/>
      <c r="E174" s="118"/>
      <c r="F174" s="118"/>
      <c r="G174" s="153"/>
      <c r="H174" s="68"/>
      <c r="I174" s="118"/>
    </row>
    <row r="175" ht="18.0" customHeight="1">
      <c r="A175" s="1"/>
      <c r="B175" s="118"/>
      <c r="C175" s="130"/>
      <c r="D175" s="152"/>
      <c r="E175" s="118"/>
      <c r="F175" s="118"/>
      <c r="G175" s="153"/>
      <c r="H175" s="68"/>
      <c r="I175" s="118"/>
    </row>
    <row r="176" ht="18.0" customHeight="1">
      <c r="A176" s="1"/>
      <c r="B176" s="69"/>
      <c r="C176" s="100"/>
      <c r="D176" s="101"/>
      <c r="E176" s="69"/>
      <c r="F176" s="69"/>
      <c r="G176" s="70"/>
      <c r="H176" s="68"/>
      <c r="I176" s="69"/>
    </row>
    <row r="177" ht="18.0" customHeight="1">
      <c r="A177" s="1"/>
      <c r="B177" s="69"/>
      <c r="C177" s="100"/>
      <c r="D177" s="101"/>
      <c r="E177" s="69"/>
      <c r="F177" s="69"/>
      <c r="G177" s="70"/>
      <c r="H177" s="68"/>
      <c r="I177" s="69"/>
    </row>
    <row r="178" ht="18.0" customHeight="1">
      <c r="A178" s="1"/>
      <c r="B178" s="129"/>
      <c r="C178" s="133"/>
      <c r="D178" s="150"/>
      <c r="E178" s="129"/>
      <c r="F178" s="129"/>
      <c r="G178" s="134"/>
      <c r="H178" s="68"/>
      <c r="I178" s="129"/>
    </row>
    <row r="179" ht="18.0" customHeight="1">
      <c r="A179" s="1"/>
      <c r="B179" s="129"/>
      <c r="C179" s="133"/>
      <c r="D179" s="150"/>
      <c r="E179" s="129"/>
      <c r="F179" s="129"/>
      <c r="G179" s="134"/>
      <c r="H179" s="68"/>
      <c r="I179" s="129"/>
    </row>
    <row r="180" ht="18.0" customHeight="1">
      <c r="A180" s="1"/>
      <c r="B180" s="136"/>
      <c r="C180" s="135"/>
      <c r="D180" s="151"/>
      <c r="E180" s="136"/>
      <c r="F180" s="136"/>
      <c r="G180" s="137"/>
      <c r="H180" s="68"/>
      <c r="I180" s="136"/>
    </row>
    <row r="181" ht="18.0" customHeight="1">
      <c r="A181" s="1"/>
      <c r="B181" s="66"/>
      <c r="C181" s="98"/>
      <c r="D181" s="99"/>
      <c r="E181" s="66"/>
      <c r="F181" s="66"/>
      <c r="G181" s="67"/>
      <c r="H181" s="68"/>
      <c r="I181" s="66"/>
    </row>
    <row r="182" ht="18.0" customHeight="1">
      <c r="A182" s="1"/>
      <c r="B182" s="122"/>
      <c r="C182" s="138"/>
      <c r="D182" s="139"/>
      <c r="E182" s="122"/>
      <c r="F182" s="122"/>
      <c r="G182" s="125"/>
      <c r="H182" s="68"/>
      <c r="I182" s="122"/>
    </row>
    <row r="183" ht="18.0" customHeight="1">
      <c r="A183" s="1"/>
      <c r="B183" s="122"/>
      <c r="C183" s="138"/>
      <c r="D183" s="139"/>
      <c r="E183" s="122"/>
      <c r="F183" s="122"/>
      <c r="G183" s="125"/>
      <c r="H183" s="68"/>
      <c r="I183" s="122"/>
    </row>
    <row r="184" ht="18.0" customHeight="1">
      <c r="A184" s="1"/>
      <c r="B184" s="122"/>
      <c r="C184" s="138"/>
      <c r="D184" s="139"/>
      <c r="E184" s="122"/>
      <c r="F184" s="122"/>
      <c r="G184" s="125"/>
      <c r="H184" s="68"/>
      <c r="I184" s="122"/>
    </row>
    <row r="185" ht="18.0" customHeight="1">
      <c r="A185" s="1"/>
      <c r="B185" s="122"/>
      <c r="C185" s="138"/>
      <c r="D185" s="139"/>
      <c r="E185" s="122"/>
      <c r="F185" s="122"/>
      <c r="G185" s="125"/>
      <c r="H185" s="68"/>
      <c r="I185" s="122"/>
    </row>
    <row r="186" ht="18.0" customHeight="1">
      <c r="A186" s="1"/>
      <c r="B186" s="118"/>
      <c r="C186" s="130"/>
      <c r="D186" s="152"/>
      <c r="E186" s="118"/>
      <c r="F186" s="118"/>
      <c r="G186" s="153"/>
      <c r="H186" s="68"/>
      <c r="I186" s="118"/>
    </row>
    <row r="187" ht="18.0" customHeight="1">
      <c r="A187" s="1"/>
      <c r="B187" s="118"/>
      <c r="C187" s="130"/>
      <c r="D187" s="152"/>
      <c r="E187" s="118"/>
      <c r="F187" s="118"/>
      <c r="G187" s="153"/>
      <c r="H187" s="68"/>
      <c r="I187" s="118"/>
    </row>
    <row r="188" ht="18.0" customHeight="1">
      <c r="A188" s="1"/>
      <c r="B188" s="69"/>
      <c r="C188" s="100"/>
      <c r="D188" s="101"/>
      <c r="E188" s="69"/>
      <c r="F188" s="69"/>
      <c r="G188" s="70"/>
      <c r="H188" s="68"/>
      <c r="I188" s="69"/>
    </row>
    <row r="189" ht="18.0" customHeight="1">
      <c r="A189" s="1"/>
      <c r="B189" s="69"/>
      <c r="C189" s="100"/>
      <c r="D189" s="101"/>
      <c r="E189" s="69"/>
      <c r="F189" s="69"/>
      <c r="G189" s="70"/>
      <c r="H189" s="68"/>
      <c r="I189" s="69"/>
    </row>
    <row r="190" ht="18.0" customHeight="1">
      <c r="A190" s="1"/>
      <c r="B190" s="129"/>
      <c r="C190" s="133"/>
      <c r="D190" s="150"/>
      <c r="E190" s="129"/>
      <c r="F190" s="129"/>
      <c r="G190" s="134"/>
      <c r="H190" s="68"/>
      <c r="I190" s="129"/>
    </row>
    <row r="191" ht="18.0" customHeight="1">
      <c r="A191" s="1"/>
      <c r="B191" s="129"/>
      <c r="C191" s="133"/>
      <c r="D191" s="150"/>
      <c r="E191" s="129"/>
      <c r="F191" s="129"/>
      <c r="G191" s="134"/>
      <c r="H191" s="68"/>
      <c r="I191" s="129"/>
    </row>
    <row r="192" ht="18.0" customHeight="1">
      <c r="A192" s="1"/>
      <c r="B192" s="136"/>
      <c r="C192" s="135"/>
      <c r="D192" s="151"/>
      <c r="E192" s="136"/>
      <c r="F192" s="136"/>
      <c r="G192" s="137"/>
      <c r="H192" s="68"/>
      <c r="I192" s="136"/>
    </row>
    <row r="193" ht="18.0" customHeight="1">
      <c r="A193" s="1"/>
      <c r="B193" s="66"/>
      <c r="C193" s="98"/>
      <c r="D193" s="99"/>
      <c r="E193" s="66"/>
      <c r="F193" s="66"/>
      <c r="G193" s="67"/>
      <c r="H193" s="68"/>
      <c r="I193" s="66"/>
    </row>
    <row r="194" ht="18.0" customHeight="1">
      <c r="A194" s="1"/>
      <c r="B194" s="122"/>
      <c r="C194" s="138"/>
      <c r="D194" s="139"/>
      <c r="E194" s="122"/>
      <c r="F194" s="122"/>
      <c r="G194" s="125"/>
      <c r="H194" s="68"/>
      <c r="I194" s="122"/>
    </row>
    <row r="195" ht="18.0" customHeight="1">
      <c r="A195" s="1"/>
      <c r="B195" s="122"/>
      <c r="C195" s="138"/>
      <c r="D195" s="139"/>
      <c r="E195" s="122"/>
      <c r="F195" s="122"/>
      <c r="G195" s="125"/>
      <c r="H195" s="68"/>
      <c r="I195" s="122"/>
    </row>
    <row r="196" ht="18.0" customHeight="1">
      <c r="A196" s="1"/>
      <c r="B196" s="122"/>
      <c r="C196" s="138"/>
      <c r="D196" s="139"/>
      <c r="E196" s="122"/>
      <c r="F196" s="122"/>
      <c r="G196" s="125"/>
      <c r="H196" s="68"/>
      <c r="I196" s="122"/>
    </row>
    <row r="197" ht="18.0" customHeight="1">
      <c r="A197" s="1"/>
      <c r="B197" s="122"/>
      <c r="C197" s="138"/>
      <c r="D197" s="139"/>
      <c r="E197" s="122"/>
      <c r="F197" s="122"/>
      <c r="G197" s="125"/>
      <c r="H197" s="68"/>
      <c r="I197" s="122"/>
    </row>
    <row r="198" ht="18.0" customHeight="1">
      <c r="A198" s="1"/>
      <c r="B198" s="118"/>
      <c r="C198" s="130"/>
      <c r="D198" s="152"/>
      <c r="E198" s="118"/>
      <c r="F198" s="118"/>
      <c r="G198" s="153"/>
      <c r="H198" s="68"/>
      <c r="I198" s="118"/>
    </row>
    <row r="199" ht="18.0" customHeight="1">
      <c r="A199" s="1"/>
      <c r="B199" s="118"/>
      <c r="C199" s="130"/>
      <c r="D199" s="152"/>
      <c r="E199" s="118"/>
      <c r="F199" s="118"/>
      <c r="G199" s="153"/>
      <c r="H199" s="68"/>
      <c r="I199" s="118"/>
    </row>
    <row r="200" ht="18.0" customHeight="1">
      <c r="A200" s="1"/>
      <c r="B200" s="69"/>
      <c r="C200" s="100"/>
      <c r="D200" s="101"/>
      <c r="E200" s="69"/>
      <c r="F200" s="69"/>
      <c r="G200" s="70"/>
      <c r="H200" s="68"/>
      <c r="I200" s="69"/>
    </row>
    <row r="201" ht="18.0" customHeight="1">
      <c r="A201" s="1"/>
      <c r="B201" s="69"/>
      <c r="C201" s="100"/>
      <c r="D201" s="101"/>
      <c r="E201" s="69"/>
      <c r="F201" s="69"/>
      <c r="G201" s="70"/>
      <c r="H201" s="68"/>
      <c r="I201" s="69"/>
    </row>
    <row r="202" ht="18.0" customHeight="1">
      <c r="A202" s="1"/>
      <c r="B202" s="129"/>
      <c r="C202" s="133"/>
      <c r="D202" s="150"/>
      <c r="E202" s="129"/>
      <c r="F202" s="129"/>
      <c r="G202" s="134"/>
      <c r="H202" s="68"/>
      <c r="I202" s="129"/>
    </row>
    <row r="203" ht="18.0" customHeight="1">
      <c r="A203" s="1"/>
      <c r="B203" s="129"/>
      <c r="C203" s="133"/>
      <c r="D203" s="150"/>
      <c r="E203" s="129"/>
      <c r="F203" s="129"/>
      <c r="G203" s="134"/>
      <c r="H203" s="68"/>
      <c r="I203" s="129"/>
    </row>
    <row r="204" ht="18.0" customHeight="1">
      <c r="A204" s="1"/>
      <c r="B204" s="136"/>
      <c r="C204" s="135"/>
      <c r="D204" s="151"/>
      <c r="E204" s="136"/>
      <c r="F204" s="136"/>
      <c r="G204" s="137"/>
      <c r="H204" s="68"/>
      <c r="I204" s="136"/>
    </row>
    <row r="205" ht="18.0" customHeight="1">
      <c r="A205" s="1"/>
      <c r="B205" s="66"/>
      <c r="C205" s="98"/>
      <c r="D205" s="99"/>
      <c r="E205" s="66"/>
      <c r="F205" s="66"/>
      <c r="G205" s="67"/>
      <c r="H205" s="68"/>
      <c r="I205" s="66"/>
    </row>
    <row r="206" ht="18.0" customHeight="1">
      <c r="A206" s="1"/>
      <c r="B206" s="122"/>
      <c r="C206" s="138"/>
      <c r="D206" s="139"/>
      <c r="E206" s="122"/>
      <c r="F206" s="122"/>
      <c r="G206" s="125"/>
      <c r="H206" s="68"/>
      <c r="I206" s="122"/>
    </row>
    <row r="207" ht="18.0" customHeight="1">
      <c r="A207" s="1"/>
      <c r="B207" s="122"/>
      <c r="C207" s="138"/>
      <c r="D207" s="139"/>
      <c r="E207" s="122"/>
      <c r="F207" s="122"/>
      <c r="G207" s="125"/>
      <c r="H207" s="68"/>
      <c r="I207" s="122"/>
    </row>
    <row r="208" ht="18.0" customHeight="1">
      <c r="A208" s="1"/>
      <c r="B208" s="122"/>
      <c r="C208" s="138"/>
      <c r="D208" s="139"/>
      <c r="E208" s="122"/>
      <c r="F208" s="122"/>
      <c r="G208" s="125"/>
      <c r="H208" s="68"/>
      <c r="I208" s="122"/>
    </row>
    <row r="209" ht="18.0" customHeight="1">
      <c r="A209" s="1"/>
      <c r="B209" s="122"/>
      <c r="C209" s="138"/>
      <c r="D209" s="139"/>
      <c r="E209" s="122"/>
      <c r="F209" s="122"/>
      <c r="G209" s="125"/>
      <c r="H209" s="68"/>
      <c r="I209" s="122"/>
    </row>
    <row r="210" ht="18.0" customHeight="1">
      <c r="A210" s="1"/>
      <c r="B210" s="118"/>
      <c r="C210" s="130"/>
      <c r="D210" s="152"/>
      <c r="E210" s="118"/>
      <c r="F210" s="118"/>
      <c r="G210" s="153"/>
      <c r="H210" s="68"/>
      <c r="I210" s="118"/>
    </row>
    <row r="211" ht="18.0" customHeight="1">
      <c r="A211" s="1"/>
      <c r="B211" s="118"/>
      <c r="C211" s="130"/>
      <c r="D211" s="152"/>
      <c r="E211" s="118"/>
      <c r="F211" s="118"/>
      <c r="G211" s="153"/>
      <c r="H211" s="68"/>
      <c r="I211" s="118"/>
    </row>
    <row r="212" ht="18.0" customHeight="1">
      <c r="A212" s="1"/>
      <c r="B212" s="69"/>
      <c r="C212" s="100"/>
      <c r="D212" s="101"/>
      <c r="E212" s="69"/>
      <c r="F212" s="69"/>
      <c r="G212" s="70"/>
      <c r="H212" s="68"/>
      <c r="I212" s="69"/>
    </row>
    <row r="213" ht="18.0" customHeight="1">
      <c r="A213" s="1"/>
      <c r="B213" s="69"/>
      <c r="C213" s="100"/>
      <c r="D213" s="101"/>
      <c r="E213" s="69"/>
      <c r="F213" s="69"/>
      <c r="G213" s="70"/>
      <c r="H213" s="68"/>
      <c r="I213" s="69"/>
    </row>
    <row r="214" ht="18.0" customHeight="1">
      <c r="A214" s="1"/>
      <c r="B214" s="129"/>
      <c r="C214" s="133"/>
      <c r="D214" s="150"/>
      <c r="E214" s="129"/>
      <c r="F214" s="129"/>
      <c r="G214" s="134"/>
      <c r="H214" s="68"/>
      <c r="I214" s="129"/>
    </row>
    <row r="215" ht="18.0" customHeight="1">
      <c r="A215" s="1"/>
      <c r="B215" s="129"/>
      <c r="C215" s="133"/>
      <c r="D215" s="150"/>
      <c r="E215" s="129"/>
      <c r="F215" s="129"/>
      <c r="G215" s="134"/>
      <c r="H215" s="68"/>
      <c r="I215" s="129"/>
    </row>
    <row r="216" ht="18.0" customHeight="1">
      <c r="A216" s="1"/>
      <c r="B216" s="136"/>
      <c r="C216" s="135"/>
      <c r="D216" s="151"/>
      <c r="E216" s="136"/>
      <c r="F216" s="136"/>
      <c r="G216" s="137"/>
      <c r="H216" s="68"/>
      <c r="I216" s="136"/>
    </row>
    <row r="217" ht="18.0" customHeight="1">
      <c r="A217" s="1"/>
      <c r="B217" s="66"/>
      <c r="C217" s="98"/>
      <c r="D217" s="99"/>
      <c r="E217" s="66"/>
      <c r="F217" s="66"/>
      <c r="G217" s="67"/>
      <c r="H217" s="68"/>
      <c r="I217" s="66"/>
    </row>
    <row r="218" ht="15.75" customHeight="1">
      <c r="A218" s="1"/>
      <c r="B218" s="1"/>
      <c r="C218" s="85"/>
      <c r="D218" s="1"/>
      <c r="E218" s="1"/>
      <c r="F218" s="1"/>
      <c r="G218" s="1"/>
      <c r="H218" s="1"/>
      <c r="I218" s="1"/>
    </row>
    <row r="219" ht="13.5" customHeight="1">
      <c r="A219" s="1"/>
      <c r="B219" s="18" t="s">
        <v>82</v>
      </c>
      <c r="C219" s="3"/>
      <c r="D219" s="3"/>
      <c r="E219" s="3"/>
      <c r="F219" s="3"/>
      <c r="G219" s="3"/>
      <c r="H219" s="3"/>
      <c r="I219" s="4"/>
    </row>
    <row r="220" ht="19.5" customHeight="1">
      <c r="A220" s="1"/>
      <c r="B220" s="154" t="s">
        <v>23</v>
      </c>
      <c r="C220" s="155"/>
      <c r="D220" s="156"/>
      <c r="E220" s="156"/>
      <c r="F220" s="156"/>
      <c r="G220" s="12">
        <f>SUMIF(F5:F217,"Moradia",G5:G217)</f>
        <v>5973</v>
      </c>
      <c r="H220" s="156"/>
      <c r="I220" s="156"/>
    </row>
    <row r="221" ht="19.5" customHeight="1">
      <c r="A221" s="1"/>
      <c r="B221" s="157" t="s">
        <v>24</v>
      </c>
      <c r="C221" s="158"/>
      <c r="D221" s="159"/>
      <c r="E221" s="159"/>
      <c r="F221" s="159"/>
      <c r="G221" s="12">
        <f>SUMIF(F5:F217,"Alimentação",G5:G217)</f>
        <v>1693.92</v>
      </c>
      <c r="H221" s="159"/>
      <c r="I221" s="159"/>
    </row>
    <row r="222" ht="19.5" customHeight="1">
      <c r="A222" s="1"/>
      <c r="B222" s="160" t="s">
        <v>25</v>
      </c>
      <c r="C222" s="158"/>
      <c r="D222" s="159"/>
      <c r="E222" s="159"/>
      <c r="F222" s="159"/>
      <c r="G222" s="12">
        <f>SUMIF(F6:F218,"Serviços",G6:G218)</f>
        <v>132.24</v>
      </c>
      <c r="H222" s="159"/>
      <c r="I222" s="159"/>
    </row>
    <row r="223" ht="19.5" customHeight="1">
      <c r="A223" s="1"/>
      <c r="B223" s="160" t="s">
        <v>26</v>
      </c>
      <c r="C223" s="158"/>
      <c r="D223" s="159"/>
      <c r="E223" s="159"/>
      <c r="F223" s="159"/>
      <c r="G223" s="12">
        <f>SUMIF(F7:F219,"Carro",G7:G219)</f>
        <v>705.44</v>
      </c>
      <c r="H223" s="159"/>
      <c r="I223" s="159"/>
    </row>
    <row r="224" ht="19.5" customHeight="1">
      <c r="A224" s="1"/>
      <c r="B224" s="157" t="s">
        <v>27</v>
      </c>
      <c r="C224" s="158"/>
      <c r="D224" s="159"/>
      <c r="E224" s="159"/>
      <c r="F224" s="159"/>
      <c r="G224" s="12">
        <f>SUMIF(F8:F220,"Saúde",G8:G220)</f>
        <v>108.83</v>
      </c>
      <c r="H224" s="159"/>
      <c r="I224" s="159"/>
    </row>
    <row r="225" ht="19.5" customHeight="1">
      <c r="A225" s="1"/>
      <c r="B225" s="161" t="s">
        <v>28</v>
      </c>
      <c r="C225" s="108"/>
      <c r="D225" s="79"/>
      <c r="E225" s="79"/>
      <c r="F225" s="79"/>
      <c r="G225" s="12">
        <f>SUMIF(F5:F217,"Aquisições Pessoais",G5:G217)</f>
        <v>633.8</v>
      </c>
      <c r="H225" s="79"/>
      <c r="I225" s="79"/>
    </row>
    <row r="226" ht="19.5" customHeight="1">
      <c r="A226" s="1"/>
      <c r="B226" s="162" t="s">
        <v>29</v>
      </c>
      <c r="C226" s="163"/>
      <c r="D226" s="164"/>
      <c r="E226" s="164"/>
      <c r="F226" s="164"/>
      <c r="G226" s="12">
        <f>SUMIF(F5:F217,"Lazer &amp; Assinaturas",G5:G217)</f>
        <v>51.84</v>
      </c>
      <c r="H226" s="164"/>
      <c r="I226" s="164"/>
    </row>
    <row r="227" ht="19.5" customHeight="1">
      <c r="A227" s="1"/>
      <c r="B227" s="165" t="s">
        <v>30</v>
      </c>
      <c r="C227" s="166"/>
      <c r="D227" s="167"/>
      <c r="E227" s="167"/>
      <c r="F227" s="167"/>
      <c r="G227" s="12">
        <f>SUMIF(F5:F217,"Financiamentos &amp; Dívidas",G5:G217)</f>
        <v>0</v>
      </c>
      <c r="H227" s="167"/>
      <c r="I227" s="167"/>
    </row>
    <row r="228" ht="19.5" customHeight="1">
      <c r="A228" s="1"/>
      <c r="B228" s="76" t="s">
        <v>31</v>
      </c>
      <c r="C228" s="107"/>
      <c r="D228" s="77"/>
      <c r="E228" s="77"/>
      <c r="F228" s="77"/>
      <c r="G228" s="12">
        <f>SUMIF(F5:F217,"Investimentos / Reserva",G5:G217)</f>
        <v>0</v>
      </c>
      <c r="H228" s="77"/>
      <c r="I228" s="77"/>
    </row>
    <row r="229" ht="21.75" customHeight="1">
      <c r="A229" s="1"/>
      <c r="B229" s="168" t="s">
        <v>177</v>
      </c>
      <c r="C229" s="3"/>
      <c r="D229" s="3"/>
      <c r="E229" s="3"/>
      <c r="F229" s="4"/>
      <c r="G229" s="169">
        <f>SUM(G220:G228)</f>
        <v>9299.07</v>
      </c>
      <c r="H229" s="170"/>
      <c r="I229" s="170"/>
    </row>
    <row r="230" ht="15.75" customHeight="1">
      <c r="A230" s="1"/>
      <c r="B230" s="1"/>
      <c r="C230" s="85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85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85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85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85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85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85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85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85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85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85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85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85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85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85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85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85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85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85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85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85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85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85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85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85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85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85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85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85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85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85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85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85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85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85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85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85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85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85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85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85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85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85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85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85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85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85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85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85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85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85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85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85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85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85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85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85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85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85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85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85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85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85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85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85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85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85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85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85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85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85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85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85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85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85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85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85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85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85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85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85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85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85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85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85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85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85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85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85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85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85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85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85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85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85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85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85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85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85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85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85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85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85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85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85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85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85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85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85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85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85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85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85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85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85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85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85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85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85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85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85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85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85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85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85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85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85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85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85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85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85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85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85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85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85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85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85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85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85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85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85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85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85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85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85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85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85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85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85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85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85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85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85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85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85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85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85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85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85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85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85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85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85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85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85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85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85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85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85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85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85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85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85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85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85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85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85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85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85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85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85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85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85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85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85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85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85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85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85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85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85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85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85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85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85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85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85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85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85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85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85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85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85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85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85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85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85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85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85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85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85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85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85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85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85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85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85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85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85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85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85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85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85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85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85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85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85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85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85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85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85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85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85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85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85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85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85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85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85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85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85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85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85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85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85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85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85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85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85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85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85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85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85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85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85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85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85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85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85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85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85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85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85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85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85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85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85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85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85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85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85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85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85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85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85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85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85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85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85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85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85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85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85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85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85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85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85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85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85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85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85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85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85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85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85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85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85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85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85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85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85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85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85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85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85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85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85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85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85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85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85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85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85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85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85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85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85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85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85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85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85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85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85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85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85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85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85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85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85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85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85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85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85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85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85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85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85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85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85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85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85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85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85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85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85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85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85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85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85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85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85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85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85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85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85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85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85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85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85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85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85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85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85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85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85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85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85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85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85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85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85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85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85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85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85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85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85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85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85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85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85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85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85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85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85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85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85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85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85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85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85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85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85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85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85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85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85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85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85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85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85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85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85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85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85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85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85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85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85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85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85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85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85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85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85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85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85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85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85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85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85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85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85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85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85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85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85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85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85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85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85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85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85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85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85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85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85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85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85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85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85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85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85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85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85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85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85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85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85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85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85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85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85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85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85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85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85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85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85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85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85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85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85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85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85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85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85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85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85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85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85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85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85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85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85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85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85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85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85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85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85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85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85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85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85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85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85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85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85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85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85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85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85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85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85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85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85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85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85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85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85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85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85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85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85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85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85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85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85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85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85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85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85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85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85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85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85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85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85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85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85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85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85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85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85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85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85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85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85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85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85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85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85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85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85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85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85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85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85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85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85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85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85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85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85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85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85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85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85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85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85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85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85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85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85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85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85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85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85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85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85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85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85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85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85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85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85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85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85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85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85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85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85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85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85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85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85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85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85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85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85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85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85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85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85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85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85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85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85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85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85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85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85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85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85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85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85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85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85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85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85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85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85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85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85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85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85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85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85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85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85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85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85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85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85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85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85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85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85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85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85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85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85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85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85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85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85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85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85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85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85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85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85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85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85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85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85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85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85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85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85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85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85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85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85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85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85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85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85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85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85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85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85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85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85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85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85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85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85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85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85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85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85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85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85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85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85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85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85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85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85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85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85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85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85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85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85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85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85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85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85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85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85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85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85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85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85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85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85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85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85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85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85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85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85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85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85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85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85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85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85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85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85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85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85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85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85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85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85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85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85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85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85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85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85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85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85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85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85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85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85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85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85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85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85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85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85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85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85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85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85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85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85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85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85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85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85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85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85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85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85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85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85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85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85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85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85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85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85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85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85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85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85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85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85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85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85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85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85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85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85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85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85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85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85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85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85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85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85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85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85"/>
      <c r="D1000" s="1"/>
      <c r="E1000" s="1"/>
      <c r="F1000" s="1"/>
      <c r="G1000" s="1"/>
      <c r="H1000" s="1"/>
      <c r="I1000" s="1"/>
    </row>
    <row r="1001" ht="15.75" customHeight="1">
      <c r="A1001" s="1"/>
      <c r="B1001" s="1"/>
      <c r="C1001" s="85"/>
      <c r="D1001" s="1"/>
      <c r="E1001" s="1"/>
      <c r="F1001" s="1"/>
      <c r="G1001" s="1"/>
      <c r="H1001" s="1"/>
      <c r="I1001" s="1"/>
    </row>
    <row r="1002" ht="15.75" customHeight="1">
      <c r="A1002" s="1"/>
      <c r="B1002" s="1"/>
      <c r="C1002" s="85"/>
      <c r="D1002" s="1"/>
      <c r="E1002" s="1"/>
      <c r="F1002" s="1"/>
      <c r="G1002" s="1"/>
      <c r="H1002" s="1"/>
      <c r="I1002" s="1"/>
    </row>
    <row r="1003" ht="15.75" customHeight="1">
      <c r="A1003" s="1"/>
      <c r="B1003" s="1"/>
      <c r="C1003" s="85"/>
      <c r="D1003" s="1"/>
      <c r="E1003" s="1"/>
      <c r="F1003" s="1"/>
      <c r="G1003" s="1"/>
      <c r="H1003" s="1"/>
      <c r="I1003" s="1"/>
    </row>
    <row r="1004" ht="15.75" customHeight="1">
      <c r="A1004" s="1"/>
      <c r="B1004" s="1"/>
      <c r="C1004" s="85"/>
      <c r="D1004" s="1"/>
      <c r="E1004" s="1"/>
      <c r="F1004" s="1"/>
      <c r="G1004" s="1"/>
      <c r="H1004" s="1"/>
      <c r="I1004" s="1"/>
    </row>
    <row r="1005" ht="15.75" customHeight="1">
      <c r="A1005" s="1"/>
      <c r="B1005" s="1"/>
      <c r="C1005" s="85"/>
      <c r="D1005" s="1"/>
      <c r="E1005" s="1"/>
      <c r="F1005" s="1"/>
      <c r="G1005" s="1"/>
      <c r="H1005" s="1"/>
      <c r="I1005" s="1"/>
    </row>
    <row r="1006" ht="15.75" customHeight="1">
      <c r="A1006" s="1"/>
      <c r="B1006" s="1"/>
      <c r="C1006" s="85"/>
      <c r="D1006" s="1"/>
      <c r="E1006" s="1"/>
      <c r="F1006" s="1"/>
      <c r="G1006" s="1"/>
      <c r="H1006" s="1"/>
      <c r="I1006" s="1"/>
    </row>
    <row r="1007" ht="15.75" customHeight="1">
      <c r="A1007" s="1"/>
      <c r="B1007" s="1"/>
      <c r="C1007" s="85"/>
      <c r="D1007" s="1"/>
      <c r="E1007" s="1"/>
      <c r="F1007" s="1"/>
      <c r="G1007" s="1"/>
      <c r="H1007" s="1"/>
      <c r="I1007" s="1"/>
    </row>
    <row r="1008" ht="15.75" customHeight="1">
      <c r="A1008" s="1"/>
      <c r="B1008" s="1"/>
      <c r="C1008" s="85"/>
      <c r="D1008" s="1"/>
      <c r="E1008" s="1"/>
      <c r="F1008" s="1"/>
      <c r="G1008" s="1"/>
      <c r="H1008" s="1"/>
      <c r="I1008" s="1"/>
    </row>
    <row r="1009" ht="15.75" customHeight="1">
      <c r="A1009" s="1"/>
      <c r="B1009" s="1"/>
      <c r="C1009" s="85"/>
      <c r="D1009" s="1"/>
      <c r="E1009" s="1"/>
      <c r="F1009" s="1"/>
      <c r="G1009" s="1"/>
      <c r="H1009" s="1"/>
      <c r="I1009" s="1"/>
    </row>
    <row r="1010" ht="15.75" customHeight="1">
      <c r="A1010" s="1"/>
      <c r="B1010" s="1"/>
      <c r="C1010" s="85"/>
      <c r="D1010" s="1"/>
      <c r="E1010" s="1"/>
      <c r="F1010" s="1"/>
      <c r="G1010" s="1"/>
      <c r="H1010" s="1"/>
      <c r="I1010" s="1"/>
    </row>
    <row r="1011" ht="15.75" customHeight="1">
      <c r="A1011" s="1"/>
      <c r="B1011" s="1"/>
      <c r="C1011" s="85"/>
      <c r="D1011" s="1"/>
      <c r="E1011" s="1"/>
      <c r="F1011" s="1"/>
      <c r="G1011" s="1"/>
      <c r="H1011" s="1"/>
      <c r="I1011" s="1"/>
    </row>
    <row r="1012" ht="15.75" customHeight="1">
      <c r="A1012" s="1"/>
      <c r="B1012" s="1"/>
      <c r="C1012" s="85"/>
      <c r="D1012" s="1"/>
      <c r="E1012" s="1"/>
      <c r="F1012" s="1"/>
      <c r="G1012" s="1"/>
      <c r="H1012" s="1"/>
      <c r="I1012" s="1"/>
    </row>
    <row r="1013" ht="15.75" customHeight="1">
      <c r="A1013" s="1"/>
      <c r="B1013" s="1"/>
      <c r="C1013" s="85"/>
      <c r="D1013" s="1"/>
      <c r="E1013" s="1"/>
      <c r="F1013" s="1"/>
      <c r="G1013" s="1"/>
      <c r="H1013" s="1"/>
      <c r="I1013" s="1"/>
    </row>
    <row r="1014" ht="15.75" customHeight="1">
      <c r="A1014" s="1"/>
      <c r="B1014" s="1"/>
      <c r="C1014" s="85"/>
      <c r="D1014" s="1"/>
      <c r="E1014" s="1"/>
      <c r="F1014" s="1"/>
      <c r="G1014" s="1"/>
      <c r="H1014" s="1"/>
      <c r="I1014" s="1"/>
    </row>
    <row r="1015" ht="15.75" customHeight="1">
      <c r="A1015" s="1"/>
      <c r="B1015" s="1"/>
      <c r="C1015" s="85"/>
      <c r="D1015" s="1"/>
      <c r="E1015" s="1"/>
      <c r="F1015" s="1"/>
      <c r="G1015" s="1"/>
      <c r="H1015" s="1"/>
      <c r="I1015" s="1"/>
    </row>
    <row r="1016" ht="15.75" customHeight="1">
      <c r="A1016" s="1"/>
      <c r="B1016" s="1"/>
      <c r="C1016" s="85"/>
      <c r="D1016" s="1"/>
      <c r="E1016" s="1"/>
      <c r="F1016" s="1"/>
      <c r="G1016" s="1"/>
      <c r="H1016" s="1"/>
      <c r="I1016" s="1"/>
    </row>
    <row r="1017" ht="15.75" customHeight="1">
      <c r="A1017" s="1"/>
      <c r="B1017" s="1"/>
      <c r="C1017" s="85"/>
      <c r="D1017" s="1"/>
      <c r="E1017" s="1"/>
      <c r="F1017" s="1"/>
      <c r="G1017" s="1"/>
      <c r="H1017" s="1"/>
      <c r="I1017" s="1"/>
    </row>
    <row r="1018" ht="15.75" customHeight="1">
      <c r="A1018" s="1"/>
      <c r="B1018" s="1"/>
      <c r="C1018" s="85"/>
      <c r="D1018" s="1"/>
      <c r="E1018" s="1"/>
      <c r="F1018" s="1"/>
      <c r="G1018" s="1"/>
      <c r="H1018" s="1"/>
      <c r="I1018" s="1"/>
    </row>
    <row r="1019" ht="15.75" customHeight="1">
      <c r="A1019" s="1"/>
      <c r="B1019" s="1"/>
      <c r="C1019" s="85"/>
      <c r="D1019" s="1"/>
      <c r="E1019" s="1"/>
      <c r="F1019" s="1"/>
      <c r="G1019" s="1"/>
      <c r="H1019" s="1"/>
      <c r="I1019" s="1"/>
    </row>
    <row r="1020" ht="15.75" customHeight="1">
      <c r="A1020" s="1"/>
      <c r="B1020" s="1"/>
      <c r="C1020" s="85"/>
      <c r="D1020" s="1"/>
      <c r="E1020" s="1"/>
      <c r="F1020" s="1"/>
      <c r="G1020" s="1"/>
      <c r="H1020" s="1"/>
      <c r="I1020" s="1"/>
    </row>
    <row r="1021" ht="15.75" customHeight="1">
      <c r="A1021" s="1"/>
      <c r="B1021" s="1"/>
      <c r="C1021" s="85"/>
      <c r="D1021" s="1"/>
      <c r="E1021" s="1"/>
      <c r="F1021" s="1"/>
      <c r="G1021" s="1"/>
      <c r="H1021" s="1"/>
      <c r="I1021" s="1"/>
    </row>
    <row r="1022" ht="15.75" customHeight="1">
      <c r="A1022" s="1"/>
      <c r="B1022" s="1"/>
      <c r="C1022" s="85"/>
      <c r="D1022" s="1"/>
      <c r="E1022" s="1"/>
      <c r="F1022" s="1"/>
      <c r="G1022" s="1"/>
      <c r="H1022" s="1"/>
      <c r="I1022" s="1"/>
    </row>
    <row r="1023" ht="15.75" customHeight="1">
      <c r="A1023" s="1"/>
      <c r="B1023" s="1"/>
      <c r="C1023" s="85"/>
      <c r="D1023" s="1"/>
      <c r="E1023" s="1"/>
      <c r="F1023" s="1"/>
      <c r="G1023" s="1"/>
      <c r="H1023" s="1"/>
      <c r="I1023" s="1"/>
    </row>
    <row r="1024" ht="15.75" customHeight="1">
      <c r="A1024" s="1"/>
      <c r="B1024" s="1"/>
      <c r="C1024" s="85"/>
      <c r="D1024" s="1"/>
      <c r="E1024" s="1"/>
      <c r="F1024" s="1"/>
      <c r="G1024" s="1"/>
      <c r="H1024" s="1"/>
      <c r="I1024" s="1"/>
    </row>
    <row r="1025" ht="15.75" customHeight="1">
      <c r="A1025" s="1"/>
      <c r="B1025" s="1"/>
      <c r="C1025" s="85"/>
      <c r="D1025" s="1"/>
      <c r="E1025" s="1"/>
      <c r="F1025" s="1"/>
      <c r="G1025" s="1"/>
      <c r="H1025" s="1"/>
      <c r="I1025" s="1"/>
    </row>
    <row r="1026" ht="15.75" customHeight="1">
      <c r="A1026" s="1"/>
      <c r="B1026" s="1"/>
      <c r="C1026" s="85"/>
      <c r="D1026" s="1"/>
      <c r="E1026" s="1"/>
      <c r="F1026" s="1"/>
      <c r="G1026" s="1"/>
      <c r="H1026" s="1"/>
      <c r="I1026" s="1"/>
    </row>
    <row r="1027" ht="15.75" customHeight="1">
      <c r="A1027" s="1"/>
      <c r="B1027" s="1"/>
      <c r="C1027" s="85"/>
      <c r="D1027" s="1"/>
      <c r="E1027" s="1"/>
      <c r="F1027" s="1"/>
      <c r="G1027" s="1"/>
      <c r="H1027" s="1"/>
      <c r="I1027" s="1"/>
    </row>
    <row r="1028" ht="15.75" customHeight="1">
      <c r="A1028" s="1"/>
      <c r="B1028" s="1"/>
      <c r="C1028" s="85"/>
      <c r="D1028" s="1"/>
      <c r="E1028" s="1"/>
      <c r="F1028" s="1"/>
      <c r="G1028" s="1"/>
      <c r="H1028" s="1"/>
      <c r="I1028" s="1"/>
    </row>
    <row r="1029" ht="15.75" customHeight="1">
      <c r="A1029" s="1"/>
      <c r="B1029" s="1"/>
      <c r="C1029" s="85"/>
      <c r="D1029" s="1"/>
      <c r="E1029" s="1"/>
      <c r="F1029" s="1"/>
      <c r="G1029" s="1"/>
      <c r="H1029" s="1"/>
      <c r="I1029" s="1"/>
    </row>
    <row r="1030" ht="15.75" customHeight="1">
      <c r="A1030" s="1"/>
      <c r="B1030" s="1"/>
      <c r="C1030" s="85"/>
      <c r="D1030" s="1"/>
      <c r="E1030" s="1"/>
      <c r="F1030" s="1"/>
      <c r="G1030" s="1"/>
      <c r="H1030" s="1"/>
      <c r="I1030" s="1"/>
    </row>
    <row r="1031" ht="15.75" customHeight="1">
      <c r="A1031" s="1"/>
      <c r="B1031" s="1"/>
      <c r="C1031" s="85"/>
      <c r="D1031" s="1"/>
      <c r="E1031" s="1"/>
      <c r="F1031" s="1"/>
      <c r="G1031" s="1"/>
      <c r="H1031" s="1"/>
      <c r="I1031" s="1"/>
    </row>
    <row r="1032" ht="15.75" customHeight="1">
      <c r="A1032" s="1"/>
      <c r="B1032" s="1"/>
      <c r="C1032" s="85"/>
      <c r="D1032" s="1"/>
      <c r="E1032" s="1"/>
      <c r="F1032" s="1"/>
      <c r="G1032" s="1"/>
      <c r="H1032" s="1"/>
      <c r="I1032" s="1"/>
    </row>
    <row r="1033" ht="15.75" customHeight="1">
      <c r="A1033" s="1"/>
      <c r="B1033" s="1"/>
      <c r="C1033" s="85"/>
      <c r="D1033" s="1"/>
      <c r="E1033" s="1"/>
      <c r="F1033" s="1"/>
      <c r="G1033" s="1"/>
      <c r="H1033" s="1"/>
      <c r="I1033" s="1"/>
    </row>
    <row r="1034" ht="15.75" customHeight="1">
      <c r="A1034" s="1"/>
      <c r="B1034" s="1"/>
      <c r="C1034" s="85"/>
      <c r="D1034" s="1"/>
      <c r="E1034" s="1"/>
      <c r="F1034" s="1"/>
      <c r="G1034" s="1"/>
      <c r="H1034" s="1"/>
      <c r="I1034" s="1"/>
    </row>
    <row r="1035" ht="15.75" customHeight="1">
      <c r="A1035" s="1"/>
      <c r="B1035" s="1"/>
      <c r="C1035" s="85"/>
      <c r="D1035" s="1"/>
      <c r="E1035" s="1"/>
      <c r="F1035" s="1"/>
      <c r="G1035" s="1"/>
      <c r="H1035" s="1"/>
      <c r="I1035" s="1"/>
    </row>
    <row r="1036" ht="15.75" customHeight="1">
      <c r="A1036" s="1"/>
      <c r="B1036" s="1"/>
      <c r="C1036" s="85"/>
      <c r="D1036" s="1"/>
      <c r="E1036" s="1"/>
      <c r="F1036" s="1"/>
      <c r="G1036" s="1"/>
      <c r="H1036" s="1"/>
      <c r="I1036" s="1"/>
    </row>
    <row r="1037" ht="15.75" customHeight="1">
      <c r="A1037" s="1"/>
      <c r="B1037" s="1"/>
      <c r="C1037" s="85"/>
      <c r="D1037" s="1"/>
      <c r="E1037" s="1"/>
      <c r="F1037" s="1"/>
      <c r="G1037" s="1"/>
      <c r="H1037" s="1"/>
      <c r="I1037" s="1"/>
    </row>
    <row r="1038" ht="15.75" customHeight="1">
      <c r="A1038" s="1"/>
      <c r="B1038" s="1"/>
      <c r="C1038" s="85"/>
      <c r="D1038" s="1"/>
      <c r="E1038" s="1"/>
      <c r="F1038" s="1"/>
      <c r="G1038" s="1"/>
      <c r="H1038" s="1"/>
      <c r="I1038" s="1"/>
    </row>
    <row r="1039" ht="15.75" customHeight="1">
      <c r="A1039" s="1"/>
      <c r="B1039" s="1"/>
      <c r="C1039" s="85"/>
      <c r="D1039" s="1"/>
      <c r="E1039" s="1"/>
      <c r="F1039" s="1"/>
      <c r="G1039" s="1"/>
      <c r="H1039" s="1"/>
      <c r="I1039" s="1"/>
    </row>
    <row r="1040" ht="15.75" customHeight="1">
      <c r="A1040" s="1"/>
      <c r="B1040" s="1"/>
      <c r="C1040" s="85"/>
      <c r="D1040" s="1"/>
      <c r="E1040" s="1"/>
      <c r="F1040" s="1"/>
      <c r="G1040" s="1"/>
      <c r="H1040" s="1"/>
      <c r="I1040" s="1"/>
    </row>
    <row r="1041" ht="15.75" customHeight="1">
      <c r="A1041" s="1"/>
      <c r="B1041" s="1"/>
      <c r="C1041" s="85"/>
      <c r="D1041" s="1"/>
      <c r="E1041" s="1"/>
      <c r="F1041" s="1"/>
      <c r="G1041" s="1"/>
      <c r="H1041" s="1"/>
      <c r="I1041" s="1"/>
    </row>
    <row r="1042" ht="15.75" customHeight="1">
      <c r="A1042" s="1"/>
      <c r="B1042" s="1"/>
      <c r="C1042" s="85"/>
      <c r="D1042" s="1"/>
      <c r="E1042" s="1"/>
      <c r="F1042" s="1"/>
      <c r="G1042" s="1"/>
      <c r="H1042" s="1"/>
      <c r="I1042" s="1"/>
    </row>
    <row r="1043" ht="15.75" customHeight="1">
      <c r="A1043" s="1"/>
      <c r="B1043" s="1"/>
      <c r="C1043" s="85"/>
      <c r="D1043" s="1"/>
      <c r="E1043" s="1"/>
      <c r="F1043" s="1"/>
      <c r="G1043" s="1"/>
      <c r="H1043" s="1"/>
      <c r="I1043" s="1"/>
    </row>
    <row r="1044" ht="15.75" customHeight="1">
      <c r="A1044" s="1"/>
      <c r="B1044" s="1"/>
      <c r="C1044" s="85"/>
      <c r="D1044" s="1"/>
      <c r="E1044" s="1"/>
      <c r="F1044" s="1"/>
      <c r="G1044" s="1"/>
      <c r="H1044" s="1"/>
      <c r="I1044" s="1"/>
    </row>
    <row r="1045" ht="15.75" customHeight="1">
      <c r="A1045" s="1"/>
      <c r="B1045" s="1"/>
      <c r="C1045" s="85"/>
      <c r="D1045" s="1"/>
      <c r="E1045" s="1"/>
      <c r="F1045" s="1"/>
      <c r="G1045" s="1"/>
      <c r="H1045" s="1"/>
      <c r="I1045" s="1"/>
    </row>
    <row r="1046" ht="15.75" customHeight="1">
      <c r="A1046" s="1"/>
      <c r="B1046" s="1"/>
      <c r="C1046" s="85"/>
      <c r="D1046" s="1"/>
      <c r="E1046" s="1"/>
      <c r="F1046" s="1"/>
      <c r="G1046" s="1"/>
      <c r="H1046" s="1"/>
      <c r="I1046" s="1"/>
    </row>
    <row r="1047" ht="15.75" customHeight="1">
      <c r="A1047" s="1"/>
      <c r="B1047" s="1"/>
      <c r="C1047" s="85"/>
      <c r="D1047" s="1"/>
      <c r="E1047" s="1"/>
      <c r="F1047" s="1"/>
      <c r="G1047" s="1"/>
      <c r="H1047" s="1"/>
      <c r="I1047" s="1"/>
    </row>
    <row r="1048" ht="15.75" customHeight="1">
      <c r="A1048" s="1"/>
      <c r="B1048" s="1"/>
      <c r="C1048" s="85"/>
      <c r="D1048" s="1"/>
      <c r="E1048" s="1"/>
      <c r="F1048" s="1"/>
      <c r="G1048" s="1"/>
      <c r="H1048" s="1"/>
      <c r="I1048" s="1"/>
    </row>
    <row r="1049" ht="15.75" customHeight="1">
      <c r="A1049" s="1"/>
      <c r="B1049" s="1"/>
      <c r="C1049" s="85"/>
      <c r="D1049" s="1"/>
      <c r="E1049" s="1"/>
      <c r="F1049" s="1"/>
      <c r="G1049" s="1"/>
      <c r="H1049" s="1"/>
      <c r="I1049" s="1"/>
    </row>
    <row r="1050" ht="15.75" customHeight="1">
      <c r="A1050" s="1"/>
      <c r="B1050" s="1"/>
      <c r="C1050" s="85"/>
      <c r="D1050" s="1"/>
      <c r="E1050" s="1"/>
      <c r="F1050" s="1"/>
      <c r="G1050" s="1"/>
      <c r="H1050" s="1"/>
      <c r="I1050" s="1"/>
    </row>
    <row r="1051" ht="15.75" customHeight="1">
      <c r="A1051" s="1"/>
      <c r="B1051" s="1"/>
      <c r="C1051" s="85"/>
      <c r="D1051" s="1"/>
      <c r="E1051" s="1"/>
      <c r="F1051" s="1"/>
      <c r="G1051" s="1"/>
      <c r="H1051" s="1"/>
      <c r="I1051" s="1"/>
    </row>
    <row r="1052" ht="15.75" customHeight="1">
      <c r="A1052" s="1"/>
      <c r="B1052" s="1"/>
      <c r="C1052" s="85"/>
      <c r="D1052" s="1"/>
      <c r="E1052" s="1"/>
      <c r="F1052" s="1"/>
      <c r="G1052" s="1"/>
      <c r="H1052" s="1"/>
      <c r="I1052" s="1"/>
    </row>
    <row r="1053" ht="15.75" customHeight="1">
      <c r="A1053" s="1"/>
      <c r="B1053" s="1"/>
      <c r="C1053" s="85"/>
      <c r="D1053" s="1"/>
      <c r="E1053" s="1"/>
      <c r="F1053" s="1"/>
      <c r="G1053" s="1"/>
      <c r="H1053" s="1"/>
      <c r="I1053" s="1"/>
    </row>
    <row r="1054" ht="15.75" customHeight="1">
      <c r="A1054" s="1"/>
      <c r="B1054" s="1"/>
      <c r="C1054" s="85"/>
      <c r="D1054" s="1"/>
      <c r="E1054" s="1"/>
      <c r="F1054" s="1"/>
      <c r="G1054" s="1"/>
      <c r="H1054" s="1"/>
      <c r="I1054" s="1"/>
    </row>
    <row r="1055" ht="15.75" customHeight="1">
      <c r="A1055" s="1"/>
      <c r="B1055" s="1"/>
      <c r="C1055" s="85"/>
      <c r="D1055" s="1"/>
      <c r="E1055" s="1"/>
      <c r="F1055" s="1"/>
      <c r="G1055" s="1"/>
      <c r="H1055" s="1"/>
      <c r="I1055" s="1"/>
    </row>
    <row r="1056" ht="15.75" customHeight="1">
      <c r="A1056" s="1"/>
      <c r="B1056" s="1"/>
      <c r="C1056" s="85"/>
      <c r="D1056" s="1"/>
      <c r="E1056" s="1"/>
      <c r="F1056" s="1"/>
      <c r="G1056" s="1"/>
      <c r="H1056" s="1"/>
      <c r="I1056" s="1"/>
    </row>
    <row r="1057" ht="15.75" customHeight="1">
      <c r="A1057" s="1"/>
      <c r="B1057" s="1"/>
      <c r="C1057" s="85"/>
      <c r="D1057" s="1"/>
      <c r="E1057" s="1"/>
      <c r="F1057" s="1"/>
      <c r="G1057" s="1"/>
      <c r="H1057" s="1"/>
      <c r="I1057" s="1"/>
    </row>
    <row r="1058" ht="15.75" customHeight="1">
      <c r="A1058" s="1"/>
      <c r="B1058" s="1"/>
      <c r="C1058" s="85"/>
      <c r="D1058" s="1"/>
      <c r="E1058" s="1"/>
      <c r="F1058" s="1"/>
      <c r="G1058" s="1"/>
      <c r="H1058" s="1"/>
      <c r="I1058" s="1"/>
    </row>
    <row r="1059" ht="15.75" customHeight="1">
      <c r="A1059" s="1"/>
      <c r="B1059" s="1"/>
      <c r="C1059" s="85"/>
      <c r="D1059" s="1"/>
      <c r="E1059" s="1"/>
      <c r="F1059" s="1"/>
      <c r="G1059" s="1"/>
      <c r="H1059" s="1"/>
      <c r="I1059" s="1"/>
    </row>
    <row r="1060" ht="15.75" customHeight="1">
      <c r="A1060" s="1"/>
      <c r="B1060" s="1"/>
      <c r="C1060" s="85"/>
      <c r="D1060" s="1"/>
      <c r="E1060" s="1"/>
      <c r="F1060" s="1"/>
      <c r="G1060" s="1"/>
      <c r="H1060" s="1"/>
      <c r="I1060" s="1"/>
    </row>
    <row r="1061" ht="15.75" customHeight="1">
      <c r="A1061" s="1"/>
      <c r="B1061" s="1"/>
      <c r="C1061" s="85"/>
      <c r="D1061" s="1"/>
      <c r="E1061" s="1"/>
      <c r="F1061" s="1"/>
      <c r="G1061" s="1"/>
      <c r="H1061" s="1"/>
      <c r="I1061" s="1"/>
    </row>
    <row r="1062" ht="15.75" customHeight="1">
      <c r="A1062" s="1"/>
      <c r="B1062" s="1"/>
      <c r="C1062" s="85"/>
      <c r="D1062" s="1"/>
      <c r="E1062" s="1"/>
      <c r="F1062" s="1"/>
      <c r="G1062" s="1"/>
      <c r="H1062" s="1"/>
      <c r="I1062" s="1"/>
    </row>
    <row r="1063" ht="15.75" customHeight="1">
      <c r="A1063" s="1"/>
      <c r="B1063" s="1"/>
      <c r="C1063" s="85"/>
      <c r="D1063" s="1"/>
      <c r="E1063" s="1"/>
      <c r="F1063" s="1"/>
      <c r="G1063" s="1"/>
      <c r="H1063" s="1"/>
      <c r="I1063" s="1"/>
    </row>
    <row r="1064" ht="15.75" customHeight="1">
      <c r="A1064" s="1"/>
      <c r="B1064" s="1"/>
      <c r="C1064" s="85"/>
      <c r="D1064" s="1"/>
      <c r="E1064" s="1"/>
      <c r="F1064" s="1"/>
      <c r="G1064" s="1"/>
      <c r="H1064" s="1"/>
      <c r="I1064" s="1"/>
    </row>
    <row r="1065" ht="15.75" customHeight="1">
      <c r="A1065" s="1"/>
      <c r="B1065" s="1"/>
      <c r="C1065" s="85"/>
      <c r="D1065" s="1"/>
      <c r="E1065" s="1"/>
      <c r="F1065" s="1"/>
      <c r="G1065" s="1"/>
      <c r="H1065" s="1"/>
      <c r="I1065" s="1"/>
    </row>
    <row r="1066" ht="15.75" customHeight="1">
      <c r="A1066" s="1"/>
      <c r="B1066" s="1"/>
      <c r="C1066" s="85"/>
      <c r="D1066" s="1"/>
      <c r="E1066" s="1"/>
      <c r="F1066" s="1"/>
      <c r="G1066" s="1"/>
      <c r="H1066" s="1"/>
      <c r="I1066" s="1"/>
    </row>
    <row r="1067" ht="15.75" customHeight="1">
      <c r="A1067" s="1"/>
      <c r="B1067" s="1"/>
      <c r="C1067" s="85"/>
      <c r="D1067" s="1"/>
      <c r="E1067" s="1"/>
      <c r="F1067" s="1"/>
      <c r="G1067" s="1"/>
      <c r="H1067" s="1"/>
      <c r="I1067" s="1"/>
    </row>
    <row r="1068" ht="15.75" customHeight="1">
      <c r="A1068" s="1"/>
      <c r="B1068" s="1"/>
      <c r="C1068" s="85"/>
      <c r="D1068" s="1"/>
      <c r="E1068" s="1"/>
      <c r="F1068" s="1"/>
      <c r="G1068" s="1"/>
      <c r="H1068" s="1"/>
      <c r="I1068" s="1"/>
    </row>
    <row r="1069" ht="15.75" customHeight="1">
      <c r="A1069" s="1"/>
      <c r="B1069" s="1"/>
      <c r="C1069" s="85"/>
      <c r="D1069" s="1"/>
      <c r="E1069" s="1"/>
      <c r="F1069" s="1"/>
      <c r="G1069" s="1"/>
      <c r="H1069" s="1"/>
      <c r="I1069" s="1"/>
    </row>
    <row r="1070" ht="15.75" customHeight="1">
      <c r="A1070" s="1"/>
      <c r="B1070" s="1"/>
      <c r="C1070" s="85"/>
      <c r="D1070" s="1"/>
      <c r="E1070" s="1"/>
      <c r="F1070" s="1"/>
      <c r="G1070" s="1"/>
      <c r="H1070" s="1"/>
      <c r="I1070" s="1"/>
    </row>
    <row r="1071" ht="15.75" customHeight="1">
      <c r="A1071" s="1"/>
      <c r="B1071" s="1"/>
      <c r="C1071" s="85"/>
      <c r="D1071" s="1"/>
      <c r="E1071" s="1"/>
      <c r="F1071" s="1"/>
      <c r="G1071" s="1"/>
      <c r="H1071" s="1"/>
      <c r="I1071" s="1"/>
    </row>
    <row r="1072" ht="15.75" customHeight="1">
      <c r="A1072" s="1"/>
      <c r="B1072" s="1"/>
      <c r="C1072" s="85"/>
      <c r="D1072" s="1"/>
      <c r="E1072" s="1"/>
      <c r="F1072" s="1"/>
      <c r="G1072" s="1"/>
      <c r="H1072" s="1"/>
      <c r="I1072" s="1"/>
    </row>
  </sheetData>
  <autoFilter ref="$B$89:$H$115">
    <sortState ref="B89:H115">
      <sortCondition ref="C89:C115"/>
    </sortState>
  </autoFilter>
  <mergeCells count="4">
    <mergeCell ref="B1:I1"/>
    <mergeCell ref="B2:I2"/>
    <mergeCell ref="B219:I219"/>
    <mergeCell ref="B229:F229"/>
  </mergeCells>
  <dataValidations>
    <dataValidation type="list" allowBlank="1" showErrorMessage="1" sqref="H5:H163">
      <formula1>"✅ Pago,⏳ Pendente,🛑Atrasado"</formula1>
    </dataValidation>
    <dataValidation type="list" allowBlank="1" showErrorMessage="1" sqref="F5:F163">
      <formula1>"Moradia,Serviços,Saúde,Lazer &amp; Assinaturas,Financiamentos &amp; Dívidas,Investimentos / Reserva,Alimentação,Carro,Aquisições Pessoais,Família"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49.57"/>
    <col customWidth="1" min="4" max="26" width="8.71"/>
  </cols>
  <sheetData>
    <row r="1" ht="31.5" customHeight="1">
      <c r="A1" s="1"/>
      <c r="B1" s="171" t="s">
        <v>178</v>
      </c>
      <c r="C1" s="4"/>
    </row>
    <row r="2">
      <c r="A2" s="1"/>
      <c r="B2" s="1"/>
      <c r="C2" s="1"/>
    </row>
    <row r="3" ht="7.5" customHeight="1">
      <c r="A3" s="1"/>
      <c r="B3" s="1"/>
      <c r="C3" s="1"/>
    </row>
    <row r="4" ht="21.75" customHeight="1">
      <c r="A4" s="1"/>
      <c r="B4" s="172" t="s">
        <v>179</v>
      </c>
      <c r="C4" s="4"/>
    </row>
    <row r="5" ht="18.0" customHeight="1">
      <c r="A5" s="1"/>
      <c r="B5" s="173" t="s">
        <v>180</v>
      </c>
      <c r="C5" s="174"/>
    </row>
    <row r="6" ht="16.5" customHeight="1">
      <c r="A6" s="1"/>
      <c r="B6" s="10" t="s">
        <v>181</v>
      </c>
      <c r="C6" s="11"/>
    </row>
    <row r="7" ht="16.5" customHeight="1">
      <c r="A7" s="1"/>
      <c r="B7" s="66" t="s">
        <v>182</v>
      </c>
      <c r="C7" s="67"/>
    </row>
    <row r="8" ht="16.5" customHeight="1">
      <c r="A8" s="1"/>
      <c r="B8" s="69" t="s">
        <v>183</v>
      </c>
      <c r="C8" s="70"/>
    </row>
    <row r="9" ht="16.5" customHeight="1">
      <c r="A9" s="1"/>
      <c r="B9" s="71" t="s">
        <v>184</v>
      </c>
      <c r="C9" s="72"/>
    </row>
    <row r="10" ht="18.75" customHeight="1">
      <c r="A10" s="1"/>
      <c r="B10" s="15" t="s">
        <v>185</v>
      </c>
      <c r="C10" s="16"/>
    </row>
    <row r="11" ht="18.0" customHeight="1">
      <c r="A11" s="1"/>
      <c r="B11" s="175" t="s">
        <v>186</v>
      </c>
      <c r="C11" s="174"/>
    </row>
    <row r="12" ht="16.5" customHeight="1">
      <c r="A12" s="1"/>
      <c r="B12" s="122" t="s">
        <v>23</v>
      </c>
      <c r="C12" s="125"/>
    </row>
    <row r="13" ht="16.5" customHeight="1">
      <c r="A13" s="1"/>
      <c r="B13" s="118" t="s">
        <v>24</v>
      </c>
      <c r="C13" s="153"/>
    </row>
    <row r="14" ht="16.5" customHeight="1">
      <c r="A14" s="1"/>
      <c r="B14" s="115" t="s">
        <v>25</v>
      </c>
      <c r="C14" s="153"/>
    </row>
    <row r="15" ht="16.5" customHeight="1">
      <c r="A15" s="1"/>
      <c r="B15" s="115" t="s">
        <v>26</v>
      </c>
      <c r="C15" s="153"/>
    </row>
    <row r="16" ht="16.5" customHeight="1">
      <c r="A16" s="1"/>
      <c r="B16" s="118" t="s">
        <v>27</v>
      </c>
      <c r="C16" s="153"/>
    </row>
    <row r="17" ht="16.5" customHeight="1">
      <c r="A17" s="1"/>
      <c r="B17" s="132" t="s">
        <v>28</v>
      </c>
      <c r="C17" s="70"/>
    </row>
    <row r="18" ht="16.5" customHeight="1">
      <c r="A18" s="1"/>
      <c r="B18" s="129" t="s">
        <v>29</v>
      </c>
      <c r="C18" s="134"/>
    </row>
    <row r="19" ht="16.5" customHeight="1">
      <c r="A19" s="1"/>
      <c r="B19" s="136" t="s">
        <v>30</v>
      </c>
      <c r="C19" s="137"/>
    </row>
    <row r="20" ht="16.5" customHeight="1">
      <c r="A20" s="1"/>
      <c r="B20" s="66" t="s">
        <v>31</v>
      </c>
      <c r="C20" s="67"/>
    </row>
    <row r="21" ht="18.75" customHeight="1">
      <c r="A21" s="1"/>
      <c r="B21" s="24" t="s">
        <v>187</v>
      </c>
      <c r="C21" s="25"/>
    </row>
    <row r="22" ht="21.75" customHeight="1">
      <c r="A22" s="1"/>
      <c r="B22" s="176" t="s">
        <v>188</v>
      </c>
      <c r="C22" s="29"/>
    </row>
    <row r="23" ht="7.5" customHeight="1">
      <c r="A23" s="1"/>
      <c r="B23" s="1"/>
      <c r="C23" s="1"/>
    </row>
    <row r="24" ht="21.75" customHeight="1">
      <c r="A24" s="1"/>
      <c r="B24" s="27" t="s">
        <v>189</v>
      </c>
      <c r="C24" s="4"/>
    </row>
    <row r="25" ht="18.0" customHeight="1">
      <c r="A25" s="1"/>
      <c r="B25" s="173" t="s">
        <v>180</v>
      </c>
      <c r="C25" s="174"/>
    </row>
    <row r="26" ht="16.5" customHeight="1">
      <c r="A26" s="1"/>
      <c r="B26" s="10" t="s">
        <v>181</v>
      </c>
      <c r="C26" s="11"/>
    </row>
    <row r="27" ht="16.5" customHeight="1">
      <c r="A27" s="1"/>
      <c r="B27" s="66" t="s">
        <v>182</v>
      </c>
      <c r="C27" s="67"/>
    </row>
    <row r="28" ht="16.5" customHeight="1">
      <c r="A28" s="1"/>
      <c r="B28" s="69" t="s">
        <v>183</v>
      </c>
      <c r="C28" s="70"/>
    </row>
    <row r="29" ht="16.5" customHeight="1">
      <c r="A29" s="1"/>
      <c r="B29" s="71" t="s">
        <v>184</v>
      </c>
      <c r="C29" s="72"/>
    </row>
    <row r="30" ht="18.75" customHeight="1">
      <c r="A30" s="1"/>
      <c r="B30" s="15" t="s">
        <v>185</v>
      </c>
      <c r="C30" s="16"/>
    </row>
    <row r="31" ht="18.0" customHeight="1">
      <c r="A31" s="1"/>
      <c r="B31" s="175" t="s">
        <v>186</v>
      </c>
      <c r="C31" s="174"/>
    </row>
    <row r="32" ht="16.5" customHeight="1">
      <c r="A32" s="1"/>
      <c r="B32" s="122" t="s">
        <v>23</v>
      </c>
      <c r="C32" s="125"/>
    </row>
    <row r="33" ht="16.5" customHeight="1">
      <c r="A33" s="1"/>
      <c r="B33" s="118" t="s">
        <v>24</v>
      </c>
      <c r="C33" s="153"/>
    </row>
    <row r="34" ht="16.5" customHeight="1">
      <c r="A34" s="1"/>
      <c r="B34" s="115" t="s">
        <v>25</v>
      </c>
      <c r="C34" s="70"/>
    </row>
    <row r="35" ht="16.5" customHeight="1">
      <c r="A35" s="1"/>
      <c r="B35" s="115" t="s">
        <v>26</v>
      </c>
      <c r="C35" s="70"/>
    </row>
    <row r="36" ht="16.5" customHeight="1">
      <c r="A36" s="1"/>
      <c r="B36" s="118" t="s">
        <v>27</v>
      </c>
      <c r="C36" s="70"/>
    </row>
    <row r="37" ht="16.5" customHeight="1">
      <c r="A37" s="1"/>
      <c r="B37" s="132" t="s">
        <v>28</v>
      </c>
      <c r="C37" s="70"/>
    </row>
    <row r="38" ht="16.5" customHeight="1">
      <c r="A38" s="1"/>
      <c r="B38" s="129" t="s">
        <v>29</v>
      </c>
      <c r="C38" s="134"/>
    </row>
    <row r="39" ht="16.5" customHeight="1">
      <c r="A39" s="1"/>
      <c r="B39" s="136" t="s">
        <v>30</v>
      </c>
      <c r="C39" s="137"/>
    </row>
    <row r="40" ht="16.5" customHeight="1">
      <c r="A40" s="1"/>
      <c r="B40" s="66" t="s">
        <v>31</v>
      </c>
      <c r="C40" s="67"/>
    </row>
    <row r="41" ht="18.75" customHeight="1">
      <c r="A41" s="1"/>
      <c r="B41" s="24" t="s">
        <v>187</v>
      </c>
      <c r="C41" s="25"/>
    </row>
    <row r="42" ht="21.75" customHeight="1">
      <c r="A42" s="1"/>
      <c r="B42" s="176" t="s">
        <v>190</v>
      </c>
      <c r="C42" s="29"/>
    </row>
    <row r="43" ht="7.5" customHeight="1">
      <c r="A43" s="1"/>
      <c r="B43" s="1"/>
      <c r="C43" s="1"/>
    </row>
    <row r="44" ht="21.75" customHeight="1">
      <c r="A44" s="1"/>
      <c r="B44" s="27" t="s">
        <v>191</v>
      </c>
      <c r="C44" s="4"/>
    </row>
    <row r="45" ht="18.0" customHeight="1">
      <c r="A45" s="1"/>
      <c r="B45" s="173" t="s">
        <v>180</v>
      </c>
      <c r="C45" s="174"/>
    </row>
    <row r="46" ht="16.5" customHeight="1">
      <c r="A46" s="1"/>
      <c r="B46" s="10" t="s">
        <v>181</v>
      </c>
      <c r="C46" s="11"/>
    </row>
    <row r="47" ht="16.5" customHeight="1">
      <c r="A47" s="1"/>
      <c r="B47" s="66" t="s">
        <v>182</v>
      </c>
      <c r="C47" s="67"/>
    </row>
    <row r="48" ht="16.5" customHeight="1">
      <c r="A48" s="1"/>
      <c r="B48" s="69" t="s">
        <v>183</v>
      </c>
      <c r="C48" s="70"/>
    </row>
    <row r="49" ht="16.5" customHeight="1">
      <c r="A49" s="1"/>
      <c r="B49" s="71" t="s">
        <v>184</v>
      </c>
      <c r="C49" s="72"/>
    </row>
    <row r="50" ht="18.75" customHeight="1">
      <c r="A50" s="1"/>
      <c r="B50" s="15" t="s">
        <v>185</v>
      </c>
      <c r="C50" s="16"/>
    </row>
    <row r="51" ht="18.0" customHeight="1">
      <c r="A51" s="1"/>
      <c r="B51" s="175" t="s">
        <v>186</v>
      </c>
      <c r="C51" s="174"/>
    </row>
    <row r="52" ht="16.5" customHeight="1">
      <c r="A52" s="1"/>
      <c r="B52" s="122" t="s">
        <v>23</v>
      </c>
      <c r="C52" s="125"/>
    </row>
    <row r="53" ht="16.5" customHeight="1">
      <c r="A53" s="1"/>
      <c r="B53" s="118" t="s">
        <v>24</v>
      </c>
      <c r="C53" s="153"/>
    </row>
    <row r="54" ht="16.5" customHeight="1">
      <c r="A54" s="1"/>
      <c r="B54" s="115" t="s">
        <v>25</v>
      </c>
      <c r="C54" s="70"/>
    </row>
    <row r="55" ht="16.5" customHeight="1">
      <c r="A55" s="1"/>
      <c r="B55" s="115" t="s">
        <v>26</v>
      </c>
      <c r="C55" s="70"/>
    </row>
    <row r="56" ht="16.5" customHeight="1">
      <c r="A56" s="1"/>
      <c r="B56" s="118" t="s">
        <v>27</v>
      </c>
      <c r="C56" s="70"/>
    </row>
    <row r="57" ht="16.5" customHeight="1">
      <c r="A57" s="1"/>
      <c r="B57" s="132" t="s">
        <v>28</v>
      </c>
      <c r="C57" s="70"/>
    </row>
    <row r="58" ht="16.5" customHeight="1">
      <c r="A58" s="1"/>
      <c r="B58" s="129" t="s">
        <v>29</v>
      </c>
      <c r="C58" s="134"/>
    </row>
    <row r="59" ht="16.5" customHeight="1">
      <c r="A59" s="1"/>
      <c r="B59" s="136" t="s">
        <v>30</v>
      </c>
      <c r="C59" s="137"/>
    </row>
    <row r="60" ht="16.5" customHeight="1">
      <c r="A60" s="1"/>
      <c r="B60" s="66" t="s">
        <v>31</v>
      </c>
      <c r="C60" s="67"/>
    </row>
    <row r="61" ht="18.75" customHeight="1">
      <c r="A61" s="1"/>
      <c r="B61" s="24" t="s">
        <v>187</v>
      </c>
      <c r="C61" s="25"/>
    </row>
    <row r="62" ht="21.75" customHeight="1">
      <c r="A62" s="1"/>
      <c r="B62" s="176" t="s">
        <v>192</v>
      </c>
      <c r="C62" s="177">
        <v>0.0</v>
      </c>
    </row>
    <row r="63" ht="7.5" customHeight="1">
      <c r="A63" s="1"/>
      <c r="B63" s="1"/>
      <c r="C63" s="1"/>
    </row>
    <row r="64" ht="21.75" customHeight="1">
      <c r="A64" s="1"/>
      <c r="B64" s="27" t="s">
        <v>193</v>
      </c>
      <c r="C64" s="4"/>
    </row>
    <row r="65" ht="18.0" customHeight="1">
      <c r="A65" s="1"/>
      <c r="B65" s="173" t="s">
        <v>180</v>
      </c>
      <c r="C65" s="174"/>
    </row>
    <row r="66" ht="16.5" customHeight="1">
      <c r="A66" s="1"/>
      <c r="B66" s="10" t="s">
        <v>181</v>
      </c>
      <c r="C66" s="11"/>
    </row>
    <row r="67" ht="16.5" customHeight="1">
      <c r="A67" s="1"/>
      <c r="B67" s="66" t="s">
        <v>182</v>
      </c>
      <c r="C67" s="67"/>
    </row>
    <row r="68" ht="16.5" customHeight="1">
      <c r="A68" s="1"/>
      <c r="B68" s="69" t="s">
        <v>183</v>
      </c>
      <c r="C68" s="70"/>
    </row>
    <row r="69" ht="16.5" customHeight="1">
      <c r="A69" s="1"/>
      <c r="B69" s="71" t="s">
        <v>184</v>
      </c>
      <c r="C69" s="72"/>
    </row>
    <row r="70" ht="18.75" customHeight="1">
      <c r="A70" s="1"/>
      <c r="B70" s="15" t="s">
        <v>185</v>
      </c>
      <c r="C70" s="16"/>
    </row>
    <row r="71" ht="18.0" customHeight="1">
      <c r="A71" s="1"/>
      <c r="B71" s="175" t="s">
        <v>186</v>
      </c>
      <c r="C71" s="174"/>
    </row>
    <row r="72" ht="16.5" customHeight="1">
      <c r="A72" s="1"/>
      <c r="B72" s="122" t="s">
        <v>23</v>
      </c>
      <c r="C72" s="125">
        <v>3970.0</v>
      </c>
    </row>
    <row r="73" ht="16.5" customHeight="1">
      <c r="A73" s="1"/>
      <c r="B73" s="118" t="s">
        <v>24</v>
      </c>
      <c r="C73" s="153">
        <v>1700.0</v>
      </c>
    </row>
    <row r="74" ht="16.5" customHeight="1">
      <c r="A74" s="1"/>
      <c r="B74" s="115" t="s">
        <v>25</v>
      </c>
      <c r="C74" s="153"/>
    </row>
    <row r="75" ht="16.5" customHeight="1">
      <c r="A75" s="1"/>
      <c r="B75" s="115" t="s">
        <v>26</v>
      </c>
      <c r="C75" s="153"/>
    </row>
    <row r="76" ht="16.5" customHeight="1">
      <c r="A76" s="1"/>
      <c r="B76" s="118" t="s">
        <v>27</v>
      </c>
      <c r="C76" s="153"/>
    </row>
    <row r="77" ht="16.5" customHeight="1">
      <c r="A77" s="1"/>
      <c r="B77" s="132" t="s">
        <v>28</v>
      </c>
      <c r="C77" s="70">
        <v>900.0</v>
      </c>
    </row>
    <row r="78" ht="16.5" customHeight="1">
      <c r="A78" s="1"/>
      <c r="B78" s="129" t="s">
        <v>29</v>
      </c>
      <c r="C78" s="134">
        <v>600.0</v>
      </c>
    </row>
    <row r="79" ht="16.5" customHeight="1">
      <c r="A79" s="1"/>
      <c r="B79" s="136" t="s">
        <v>30</v>
      </c>
      <c r="C79" s="137">
        <v>800.0</v>
      </c>
    </row>
    <row r="80" ht="16.5" customHeight="1">
      <c r="A80" s="1"/>
      <c r="B80" s="66" t="s">
        <v>31</v>
      </c>
      <c r="C80" s="67">
        <v>800.0</v>
      </c>
    </row>
    <row r="81" ht="18.75" customHeight="1">
      <c r="A81" s="1"/>
      <c r="B81" s="24" t="s">
        <v>187</v>
      </c>
      <c r="C81" s="25">
        <v>8770.0</v>
      </c>
    </row>
    <row r="82" ht="21.75" customHeight="1">
      <c r="A82" s="1"/>
      <c r="B82" s="176" t="s">
        <v>194</v>
      </c>
      <c r="C82" s="29">
        <v>23830.0</v>
      </c>
    </row>
    <row r="83" ht="7.5" customHeight="1">
      <c r="A83" s="1"/>
      <c r="B83" s="1"/>
      <c r="C83" s="1"/>
    </row>
    <row r="84" ht="21.75" customHeight="1">
      <c r="A84" s="1"/>
      <c r="B84" s="27" t="s">
        <v>195</v>
      </c>
      <c r="C84" s="4"/>
    </row>
    <row r="85" ht="18.0" customHeight="1">
      <c r="A85" s="1"/>
      <c r="B85" s="173" t="s">
        <v>180</v>
      </c>
      <c r="C85" s="174"/>
    </row>
    <row r="86" ht="16.5" customHeight="1">
      <c r="A86" s="1"/>
      <c r="B86" s="10" t="s">
        <v>181</v>
      </c>
      <c r="C86" s="11">
        <v>6670.0</v>
      </c>
    </row>
    <row r="87" ht="16.5" customHeight="1">
      <c r="A87" s="1"/>
      <c r="B87" s="66" t="s">
        <v>182</v>
      </c>
      <c r="C87" s="67">
        <v>2000.0</v>
      </c>
    </row>
    <row r="88" ht="16.5" customHeight="1">
      <c r="A88" s="1"/>
      <c r="B88" s="69" t="s">
        <v>183</v>
      </c>
      <c r="C88" s="70">
        <v>1390.0</v>
      </c>
    </row>
    <row r="89" ht="16.5" customHeight="1">
      <c r="A89" s="1"/>
      <c r="B89" s="71" t="s">
        <v>184</v>
      </c>
      <c r="C89" s="72">
        <v>5000.0</v>
      </c>
    </row>
    <row r="90" ht="18.75" customHeight="1">
      <c r="A90" s="1"/>
      <c r="B90" s="15" t="s">
        <v>185</v>
      </c>
      <c r="C90" s="16">
        <v>15060.0</v>
      </c>
    </row>
    <row r="91" ht="18.0" customHeight="1">
      <c r="A91" s="1"/>
      <c r="B91" s="175" t="s">
        <v>186</v>
      </c>
      <c r="C91" s="174"/>
    </row>
    <row r="92" ht="16.5" customHeight="1">
      <c r="A92" s="1"/>
      <c r="B92" s="122" t="s">
        <v>23</v>
      </c>
      <c r="C92" s="125">
        <v>3970.0</v>
      </c>
    </row>
    <row r="93" ht="16.5" customHeight="1">
      <c r="A93" s="1"/>
      <c r="B93" s="118" t="s">
        <v>24</v>
      </c>
      <c r="C93" s="153">
        <v>1700.0</v>
      </c>
    </row>
    <row r="94" ht="16.5" customHeight="1">
      <c r="A94" s="1"/>
      <c r="B94" s="115" t="s">
        <v>25</v>
      </c>
      <c r="C94" s="70">
        <v>900.0</v>
      </c>
    </row>
    <row r="95" ht="16.5" customHeight="1">
      <c r="A95" s="1"/>
      <c r="B95" s="115" t="s">
        <v>26</v>
      </c>
      <c r="C95" s="70"/>
    </row>
    <row r="96" ht="16.5" customHeight="1">
      <c r="A96" s="1"/>
      <c r="B96" s="118" t="s">
        <v>27</v>
      </c>
      <c r="C96" s="70"/>
    </row>
    <row r="97" ht="16.5" customHeight="1">
      <c r="A97" s="1"/>
      <c r="B97" s="132" t="s">
        <v>28</v>
      </c>
      <c r="C97" s="70"/>
    </row>
    <row r="98" ht="16.5" customHeight="1">
      <c r="A98" s="1"/>
      <c r="B98" s="129" t="s">
        <v>29</v>
      </c>
      <c r="C98" s="134">
        <v>600.0</v>
      </c>
    </row>
    <row r="99" ht="16.5" customHeight="1">
      <c r="A99" s="1"/>
      <c r="B99" s="136" t="s">
        <v>30</v>
      </c>
      <c r="C99" s="137">
        <v>800.0</v>
      </c>
    </row>
    <row r="100" ht="16.5" customHeight="1">
      <c r="A100" s="1"/>
      <c r="B100" s="66" t="s">
        <v>31</v>
      </c>
      <c r="C100" s="67">
        <v>800.0</v>
      </c>
    </row>
    <row r="101" ht="18.75" customHeight="1">
      <c r="A101" s="1"/>
      <c r="B101" s="24" t="s">
        <v>187</v>
      </c>
      <c r="C101" s="25">
        <v>8770.0</v>
      </c>
    </row>
    <row r="102" ht="21.75" customHeight="1">
      <c r="A102" s="1"/>
      <c r="B102" s="176" t="s">
        <v>196</v>
      </c>
      <c r="C102" s="29">
        <v>23830.0</v>
      </c>
    </row>
    <row r="103" ht="7.5" customHeight="1">
      <c r="A103" s="1"/>
      <c r="B103" s="1"/>
      <c r="C103" s="1"/>
    </row>
    <row r="104" ht="21.75" customHeight="1">
      <c r="A104" s="1"/>
      <c r="B104" s="27" t="s">
        <v>197</v>
      </c>
      <c r="C104" s="4"/>
    </row>
    <row r="105" ht="18.0" customHeight="1">
      <c r="A105" s="1"/>
      <c r="B105" s="173" t="s">
        <v>180</v>
      </c>
      <c r="C105" s="174"/>
    </row>
    <row r="106" ht="16.5" customHeight="1">
      <c r="A106" s="1"/>
      <c r="B106" s="10" t="s">
        <v>181</v>
      </c>
      <c r="C106" s="11">
        <v>6670.0</v>
      </c>
    </row>
    <row r="107" ht="16.5" customHeight="1">
      <c r="A107" s="1"/>
      <c r="B107" s="66" t="s">
        <v>182</v>
      </c>
      <c r="C107" s="67">
        <v>2000.0</v>
      </c>
    </row>
    <row r="108" ht="16.5" customHeight="1">
      <c r="A108" s="1"/>
      <c r="B108" s="69" t="s">
        <v>183</v>
      </c>
      <c r="C108" s="70">
        <v>1390.0</v>
      </c>
    </row>
    <row r="109" ht="16.5" customHeight="1">
      <c r="A109" s="1"/>
      <c r="B109" s="71" t="s">
        <v>184</v>
      </c>
      <c r="C109" s="72">
        <v>5000.0</v>
      </c>
    </row>
    <row r="110" ht="18.75" customHeight="1">
      <c r="A110" s="1"/>
      <c r="B110" s="15" t="s">
        <v>185</v>
      </c>
      <c r="C110" s="16">
        <v>15060.0</v>
      </c>
    </row>
    <row r="111" ht="18.0" customHeight="1">
      <c r="A111" s="1"/>
      <c r="B111" s="175" t="s">
        <v>186</v>
      </c>
      <c r="C111" s="174"/>
    </row>
    <row r="112" ht="16.5" customHeight="1">
      <c r="A112" s="1"/>
      <c r="B112" s="122" t="s">
        <v>23</v>
      </c>
      <c r="C112" s="125">
        <v>3970.0</v>
      </c>
    </row>
    <row r="113" ht="16.5" customHeight="1">
      <c r="A113" s="1"/>
      <c r="B113" s="118" t="s">
        <v>24</v>
      </c>
      <c r="C113" s="153">
        <v>1700.0</v>
      </c>
    </row>
    <row r="114" ht="16.5" customHeight="1">
      <c r="A114" s="1"/>
      <c r="B114" s="115" t="s">
        <v>25</v>
      </c>
      <c r="C114" s="153"/>
    </row>
    <row r="115" ht="16.5" customHeight="1">
      <c r="A115" s="1"/>
      <c r="B115" s="115" t="s">
        <v>26</v>
      </c>
      <c r="C115" s="153"/>
    </row>
    <row r="116" ht="16.5" customHeight="1">
      <c r="A116" s="1"/>
      <c r="B116" s="118" t="s">
        <v>27</v>
      </c>
      <c r="C116" s="153"/>
    </row>
    <row r="117" ht="16.5" customHeight="1">
      <c r="A117" s="1"/>
      <c r="B117" s="132" t="s">
        <v>28</v>
      </c>
      <c r="C117" s="70">
        <v>900.0</v>
      </c>
    </row>
    <row r="118" ht="16.5" customHeight="1">
      <c r="A118" s="1"/>
      <c r="B118" s="129" t="s">
        <v>29</v>
      </c>
      <c r="C118" s="134">
        <v>600.0</v>
      </c>
    </row>
    <row r="119" ht="16.5" customHeight="1">
      <c r="A119" s="1"/>
      <c r="B119" s="136" t="s">
        <v>30</v>
      </c>
      <c r="C119" s="137">
        <v>800.0</v>
      </c>
    </row>
    <row r="120" ht="16.5" customHeight="1">
      <c r="A120" s="1"/>
      <c r="B120" s="66" t="s">
        <v>31</v>
      </c>
      <c r="C120" s="67">
        <v>800.0</v>
      </c>
    </row>
    <row r="121" ht="18.75" customHeight="1">
      <c r="A121" s="1"/>
      <c r="B121" s="24" t="s">
        <v>187</v>
      </c>
      <c r="C121" s="25">
        <v>8770.0</v>
      </c>
    </row>
    <row r="122" ht="21.75" customHeight="1">
      <c r="A122" s="1"/>
      <c r="B122" s="176" t="s">
        <v>198</v>
      </c>
      <c r="C122" s="29">
        <v>23830.0</v>
      </c>
    </row>
    <row r="123" ht="7.5" customHeight="1">
      <c r="A123" s="1"/>
      <c r="B123" s="1"/>
      <c r="C123" s="1"/>
    </row>
    <row r="124" ht="21.75" customHeight="1">
      <c r="A124" s="1"/>
      <c r="B124" s="27" t="s">
        <v>199</v>
      </c>
      <c r="C124" s="4"/>
    </row>
    <row r="125" ht="18.0" customHeight="1">
      <c r="A125" s="1"/>
      <c r="B125" s="173" t="s">
        <v>180</v>
      </c>
      <c r="C125" s="174"/>
    </row>
    <row r="126" ht="16.5" customHeight="1">
      <c r="A126" s="1"/>
      <c r="B126" s="10" t="s">
        <v>181</v>
      </c>
      <c r="C126" s="11">
        <v>6670.0</v>
      </c>
    </row>
    <row r="127" ht="16.5" customHeight="1">
      <c r="A127" s="1"/>
      <c r="B127" s="66" t="s">
        <v>182</v>
      </c>
      <c r="C127" s="67">
        <v>2000.0</v>
      </c>
    </row>
    <row r="128" ht="16.5" customHeight="1">
      <c r="A128" s="1"/>
      <c r="B128" s="69" t="s">
        <v>183</v>
      </c>
      <c r="C128" s="70">
        <v>1390.0</v>
      </c>
    </row>
    <row r="129" ht="16.5" customHeight="1">
      <c r="A129" s="1"/>
      <c r="B129" s="71" t="s">
        <v>184</v>
      </c>
      <c r="C129" s="72">
        <v>5000.0</v>
      </c>
    </row>
    <row r="130" ht="18.75" customHeight="1">
      <c r="A130" s="1"/>
      <c r="B130" s="15" t="s">
        <v>185</v>
      </c>
      <c r="C130" s="16">
        <v>15060.0</v>
      </c>
    </row>
    <row r="131" ht="18.0" customHeight="1">
      <c r="A131" s="1"/>
      <c r="B131" s="175" t="s">
        <v>186</v>
      </c>
      <c r="C131" s="174"/>
    </row>
    <row r="132" ht="16.5" customHeight="1">
      <c r="A132" s="1"/>
      <c r="B132" s="122" t="s">
        <v>23</v>
      </c>
      <c r="C132" s="125">
        <v>3970.0</v>
      </c>
    </row>
    <row r="133" ht="16.5" customHeight="1">
      <c r="A133" s="1"/>
      <c r="B133" s="118" t="s">
        <v>24</v>
      </c>
      <c r="C133" s="153">
        <v>1700.0</v>
      </c>
    </row>
    <row r="134" ht="16.5" customHeight="1">
      <c r="A134" s="1"/>
      <c r="B134" s="115" t="s">
        <v>25</v>
      </c>
      <c r="C134" s="70">
        <v>900.0</v>
      </c>
    </row>
    <row r="135" ht="16.5" customHeight="1">
      <c r="A135" s="1"/>
      <c r="B135" s="115" t="s">
        <v>26</v>
      </c>
      <c r="C135" s="134">
        <v>600.0</v>
      </c>
    </row>
    <row r="136" ht="16.5" customHeight="1">
      <c r="A136" s="1"/>
      <c r="B136" s="118" t="s">
        <v>27</v>
      </c>
      <c r="C136" s="134"/>
    </row>
    <row r="137" ht="16.5" customHeight="1">
      <c r="A137" s="1"/>
      <c r="B137" s="132" t="s">
        <v>28</v>
      </c>
      <c r="C137" s="134"/>
    </row>
    <row r="138" ht="16.5" customHeight="1">
      <c r="A138" s="1"/>
      <c r="B138" s="129" t="s">
        <v>29</v>
      </c>
      <c r="C138" s="134"/>
    </row>
    <row r="139" ht="16.5" customHeight="1">
      <c r="A139" s="1"/>
      <c r="B139" s="136" t="s">
        <v>30</v>
      </c>
      <c r="C139" s="137">
        <v>800.0</v>
      </c>
    </row>
    <row r="140" ht="16.5" customHeight="1">
      <c r="A140" s="1"/>
      <c r="B140" s="66" t="s">
        <v>31</v>
      </c>
      <c r="C140" s="67">
        <v>800.0</v>
      </c>
    </row>
    <row r="141" ht="18.75" customHeight="1">
      <c r="A141" s="1"/>
      <c r="B141" s="24" t="s">
        <v>187</v>
      </c>
      <c r="C141" s="25">
        <v>8770.0</v>
      </c>
    </row>
    <row r="142" ht="21.75" customHeight="1">
      <c r="A142" s="1"/>
      <c r="B142" s="176" t="s">
        <v>200</v>
      </c>
      <c r="C142" s="29">
        <v>23830.0</v>
      </c>
    </row>
    <row r="143" ht="7.5" customHeight="1">
      <c r="A143" s="1"/>
      <c r="B143" s="1"/>
      <c r="C143" s="1"/>
    </row>
    <row r="144" ht="21.75" customHeight="1">
      <c r="A144" s="1"/>
      <c r="B144" s="27" t="s">
        <v>201</v>
      </c>
      <c r="C144" s="4"/>
    </row>
    <row r="145" ht="18.0" customHeight="1">
      <c r="A145" s="1"/>
      <c r="B145" s="173" t="s">
        <v>180</v>
      </c>
      <c r="C145" s="174"/>
    </row>
    <row r="146" ht="16.5" customHeight="1">
      <c r="A146" s="1"/>
      <c r="B146" s="10" t="s">
        <v>181</v>
      </c>
      <c r="C146" s="11">
        <v>6670.0</v>
      </c>
    </row>
    <row r="147" ht="16.5" customHeight="1">
      <c r="A147" s="1"/>
      <c r="B147" s="66" t="s">
        <v>182</v>
      </c>
      <c r="C147" s="67">
        <v>2000.0</v>
      </c>
    </row>
    <row r="148" ht="16.5" customHeight="1">
      <c r="A148" s="1"/>
      <c r="B148" s="69" t="s">
        <v>183</v>
      </c>
      <c r="C148" s="70">
        <v>1390.0</v>
      </c>
    </row>
    <row r="149" ht="16.5" customHeight="1">
      <c r="A149" s="1"/>
      <c r="B149" s="71" t="s">
        <v>184</v>
      </c>
      <c r="C149" s="72">
        <v>5000.0</v>
      </c>
    </row>
    <row r="150" ht="18.75" customHeight="1">
      <c r="A150" s="1"/>
      <c r="B150" s="15" t="s">
        <v>185</v>
      </c>
      <c r="C150" s="16">
        <v>15060.0</v>
      </c>
    </row>
    <row r="151" ht="18.0" customHeight="1">
      <c r="A151" s="1"/>
      <c r="B151" s="175" t="s">
        <v>186</v>
      </c>
      <c r="C151" s="174"/>
    </row>
    <row r="152" ht="16.5" customHeight="1">
      <c r="A152" s="1"/>
      <c r="B152" s="122" t="s">
        <v>23</v>
      </c>
      <c r="C152" s="125">
        <v>3970.0</v>
      </c>
    </row>
    <row r="153" ht="16.5" customHeight="1">
      <c r="A153" s="1"/>
      <c r="B153" s="118" t="s">
        <v>24</v>
      </c>
      <c r="C153" s="153">
        <v>1700.0</v>
      </c>
    </row>
    <row r="154" ht="16.5" customHeight="1">
      <c r="A154" s="1"/>
      <c r="B154" s="115" t="s">
        <v>25</v>
      </c>
      <c r="C154" s="70">
        <v>900.0</v>
      </c>
    </row>
    <row r="155" ht="16.5" customHeight="1">
      <c r="A155" s="1"/>
      <c r="B155" s="115" t="s">
        <v>26</v>
      </c>
      <c r="C155" s="70"/>
    </row>
    <row r="156" ht="16.5" customHeight="1">
      <c r="A156" s="1"/>
      <c r="B156" s="118" t="s">
        <v>27</v>
      </c>
      <c r="C156" s="70"/>
    </row>
    <row r="157" ht="16.5" customHeight="1">
      <c r="A157" s="1"/>
      <c r="B157" s="132" t="s">
        <v>28</v>
      </c>
      <c r="C157" s="70"/>
    </row>
    <row r="158" ht="16.5" customHeight="1">
      <c r="A158" s="1"/>
      <c r="B158" s="129" t="s">
        <v>29</v>
      </c>
      <c r="C158" s="134">
        <v>600.0</v>
      </c>
    </row>
    <row r="159" ht="16.5" customHeight="1">
      <c r="A159" s="1"/>
      <c r="B159" s="136" t="s">
        <v>30</v>
      </c>
      <c r="C159" s="137">
        <v>800.0</v>
      </c>
    </row>
    <row r="160" ht="16.5" customHeight="1">
      <c r="A160" s="1"/>
      <c r="B160" s="66" t="s">
        <v>31</v>
      </c>
      <c r="C160" s="67">
        <v>800.0</v>
      </c>
    </row>
    <row r="161" ht="18.75" customHeight="1">
      <c r="A161" s="1"/>
      <c r="B161" s="24" t="s">
        <v>187</v>
      </c>
      <c r="C161" s="25">
        <v>8770.0</v>
      </c>
    </row>
    <row r="162" ht="21.75" customHeight="1">
      <c r="A162" s="1"/>
      <c r="B162" s="176" t="s">
        <v>202</v>
      </c>
      <c r="C162" s="29">
        <v>23830.0</v>
      </c>
    </row>
    <row r="163" ht="7.5" customHeight="1">
      <c r="A163" s="1"/>
      <c r="B163" s="1"/>
      <c r="C163" s="1"/>
    </row>
    <row r="164" ht="21.75" customHeight="1">
      <c r="A164" s="1"/>
      <c r="B164" s="27" t="s">
        <v>203</v>
      </c>
      <c r="C164" s="4"/>
    </row>
    <row r="165" ht="18.0" customHeight="1">
      <c r="A165" s="1"/>
      <c r="B165" s="173" t="s">
        <v>180</v>
      </c>
      <c r="C165" s="174"/>
    </row>
    <row r="166" ht="16.5" customHeight="1">
      <c r="A166" s="1"/>
      <c r="B166" s="10" t="s">
        <v>181</v>
      </c>
      <c r="C166" s="11">
        <v>6670.0</v>
      </c>
    </row>
    <row r="167" ht="16.5" customHeight="1">
      <c r="A167" s="1"/>
      <c r="B167" s="66" t="s">
        <v>182</v>
      </c>
      <c r="C167" s="67">
        <v>2000.0</v>
      </c>
    </row>
    <row r="168" ht="16.5" customHeight="1">
      <c r="A168" s="1"/>
      <c r="B168" s="69" t="s">
        <v>183</v>
      </c>
      <c r="C168" s="70">
        <v>1390.0</v>
      </c>
    </row>
    <row r="169" ht="16.5" customHeight="1">
      <c r="A169" s="1"/>
      <c r="B169" s="71" t="s">
        <v>184</v>
      </c>
      <c r="C169" s="72">
        <v>5000.0</v>
      </c>
    </row>
    <row r="170" ht="18.75" customHeight="1">
      <c r="A170" s="1"/>
      <c r="B170" s="15" t="s">
        <v>185</v>
      </c>
      <c r="C170" s="16">
        <v>15060.0</v>
      </c>
    </row>
    <row r="171" ht="18.0" customHeight="1">
      <c r="A171" s="1"/>
      <c r="B171" s="175" t="s">
        <v>186</v>
      </c>
      <c r="C171" s="174"/>
    </row>
    <row r="172" ht="16.5" customHeight="1">
      <c r="A172" s="1"/>
      <c r="B172" s="122" t="s">
        <v>23</v>
      </c>
      <c r="C172" s="178"/>
    </row>
    <row r="173" ht="16.5" customHeight="1">
      <c r="A173" s="1"/>
      <c r="B173" s="118" t="s">
        <v>24</v>
      </c>
      <c r="C173" s="125">
        <v>3970.0</v>
      </c>
    </row>
    <row r="174" ht="16.5" customHeight="1">
      <c r="A174" s="1"/>
      <c r="B174" s="115" t="s">
        <v>25</v>
      </c>
      <c r="C174" s="153"/>
    </row>
    <row r="175" ht="16.5" customHeight="1">
      <c r="A175" s="1"/>
      <c r="B175" s="115" t="s">
        <v>26</v>
      </c>
      <c r="C175" s="153"/>
    </row>
    <row r="176" ht="16.5" customHeight="1">
      <c r="A176" s="1"/>
      <c r="B176" s="118" t="s">
        <v>27</v>
      </c>
      <c r="C176" s="153">
        <v>1700.0</v>
      </c>
    </row>
    <row r="177" ht="16.5" customHeight="1">
      <c r="A177" s="1"/>
      <c r="B177" s="132" t="s">
        <v>28</v>
      </c>
      <c r="C177" s="70">
        <v>900.0</v>
      </c>
    </row>
    <row r="178" ht="16.5" customHeight="1">
      <c r="A178" s="1"/>
      <c r="B178" s="129" t="s">
        <v>29</v>
      </c>
      <c r="C178" s="134">
        <v>600.0</v>
      </c>
    </row>
    <row r="179" ht="16.5" customHeight="1">
      <c r="A179" s="1"/>
      <c r="B179" s="136" t="s">
        <v>30</v>
      </c>
      <c r="C179" s="137">
        <v>800.0</v>
      </c>
    </row>
    <row r="180" ht="16.5" customHeight="1">
      <c r="A180" s="1"/>
      <c r="B180" s="66" t="s">
        <v>31</v>
      </c>
      <c r="C180" s="67">
        <v>800.0</v>
      </c>
    </row>
    <row r="181" ht="18.75" customHeight="1">
      <c r="A181" s="1"/>
      <c r="B181" s="24" t="s">
        <v>187</v>
      </c>
      <c r="C181" s="25">
        <v>8770.0</v>
      </c>
    </row>
    <row r="182" ht="21.75" customHeight="1">
      <c r="A182" s="1"/>
      <c r="B182" s="176" t="s">
        <v>204</v>
      </c>
      <c r="C182" s="29">
        <v>23830.0</v>
      </c>
    </row>
    <row r="183" ht="7.5" customHeight="1">
      <c r="A183" s="1"/>
      <c r="B183" s="1"/>
      <c r="C183" s="1"/>
    </row>
    <row r="184" ht="21.75" customHeight="1">
      <c r="A184" s="1"/>
      <c r="B184" s="27" t="s">
        <v>205</v>
      </c>
      <c r="C184" s="4"/>
    </row>
    <row r="185" ht="18.0" customHeight="1">
      <c r="A185" s="1"/>
      <c r="B185" s="173" t="s">
        <v>180</v>
      </c>
      <c r="C185" s="174"/>
    </row>
    <row r="186" ht="16.5" customHeight="1">
      <c r="A186" s="1"/>
      <c r="B186" s="10" t="s">
        <v>181</v>
      </c>
      <c r="C186" s="11">
        <v>6670.0</v>
      </c>
    </row>
    <row r="187" ht="16.5" customHeight="1">
      <c r="A187" s="1"/>
      <c r="B187" s="66" t="s">
        <v>182</v>
      </c>
      <c r="C187" s="67">
        <v>2000.0</v>
      </c>
    </row>
    <row r="188" ht="16.5" customHeight="1">
      <c r="A188" s="1"/>
      <c r="B188" s="69" t="s">
        <v>183</v>
      </c>
      <c r="C188" s="70">
        <v>1390.0</v>
      </c>
    </row>
    <row r="189" ht="16.5" customHeight="1">
      <c r="A189" s="1"/>
      <c r="B189" s="71" t="s">
        <v>184</v>
      </c>
      <c r="C189" s="72">
        <v>5000.0</v>
      </c>
    </row>
    <row r="190" ht="18.75" customHeight="1">
      <c r="A190" s="1"/>
      <c r="B190" s="15" t="s">
        <v>185</v>
      </c>
      <c r="C190" s="16">
        <v>15060.0</v>
      </c>
    </row>
    <row r="191" ht="18.0" customHeight="1">
      <c r="A191" s="1"/>
      <c r="B191" s="175" t="s">
        <v>186</v>
      </c>
      <c r="C191" s="174"/>
    </row>
    <row r="192" ht="16.5" customHeight="1">
      <c r="A192" s="1"/>
      <c r="B192" s="122" t="s">
        <v>23</v>
      </c>
      <c r="C192" s="125">
        <v>3970.0</v>
      </c>
    </row>
    <row r="193" ht="16.5" customHeight="1">
      <c r="A193" s="1"/>
      <c r="B193" s="118" t="s">
        <v>24</v>
      </c>
      <c r="C193" s="153">
        <v>1700.0</v>
      </c>
    </row>
    <row r="194" ht="16.5" customHeight="1">
      <c r="A194" s="1"/>
      <c r="B194" s="115" t="s">
        <v>25</v>
      </c>
      <c r="C194" s="70">
        <v>900.0</v>
      </c>
    </row>
    <row r="195" ht="16.5" customHeight="1">
      <c r="A195" s="1"/>
      <c r="B195" s="115" t="s">
        <v>26</v>
      </c>
      <c r="C195" s="134">
        <v>600.0</v>
      </c>
    </row>
    <row r="196" ht="16.5" customHeight="1">
      <c r="A196" s="1"/>
      <c r="B196" s="118" t="s">
        <v>27</v>
      </c>
      <c r="C196" s="134"/>
    </row>
    <row r="197" ht="16.5" customHeight="1">
      <c r="A197" s="1"/>
      <c r="B197" s="132" t="s">
        <v>28</v>
      </c>
      <c r="C197" s="134"/>
    </row>
    <row r="198" ht="16.5" customHeight="1">
      <c r="A198" s="1"/>
      <c r="B198" s="129" t="s">
        <v>29</v>
      </c>
      <c r="C198" s="134"/>
    </row>
    <row r="199" ht="16.5" customHeight="1">
      <c r="A199" s="1"/>
      <c r="B199" s="136" t="s">
        <v>30</v>
      </c>
      <c r="C199" s="137">
        <v>800.0</v>
      </c>
    </row>
    <row r="200" ht="16.5" customHeight="1">
      <c r="A200" s="1"/>
      <c r="B200" s="66" t="s">
        <v>31</v>
      </c>
      <c r="C200" s="67">
        <v>800.0</v>
      </c>
    </row>
    <row r="201" ht="18.75" customHeight="1">
      <c r="A201" s="1"/>
      <c r="B201" s="24" t="s">
        <v>187</v>
      </c>
      <c r="C201" s="25">
        <v>8770.0</v>
      </c>
    </row>
    <row r="202" ht="21.75" customHeight="1">
      <c r="A202" s="1"/>
      <c r="B202" s="176" t="s">
        <v>206</v>
      </c>
      <c r="C202" s="29">
        <v>23830.0</v>
      </c>
    </row>
    <row r="203" ht="7.5" customHeight="1">
      <c r="A203" s="1"/>
      <c r="B203" s="1"/>
      <c r="C203" s="1"/>
    </row>
    <row r="204" ht="21.75" customHeight="1">
      <c r="A204" s="1"/>
      <c r="B204" s="27" t="s">
        <v>207</v>
      </c>
      <c r="C204" s="4"/>
    </row>
    <row r="205" ht="18.0" customHeight="1">
      <c r="A205" s="1"/>
      <c r="B205" s="173" t="s">
        <v>180</v>
      </c>
      <c r="C205" s="174"/>
    </row>
    <row r="206" ht="16.5" customHeight="1">
      <c r="A206" s="1"/>
      <c r="B206" s="10" t="s">
        <v>181</v>
      </c>
      <c r="C206" s="11">
        <v>6670.0</v>
      </c>
    </row>
    <row r="207" ht="16.5" customHeight="1">
      <c r="A207" s="1"/>
      <c r="B207" s="66" t="s">
        <v>182</v>
      </c>
      <c r="C207" s="67">
        <v>2000.0</v>
      </c>
    </row>
    <row r="208" ht="16.5" customHeight="1">
      <c r="A208" s="1"/>
      <c r="B208" s="69" t="s">
        <v>183</v>
      </c>
      <c r="C208" s="70">
        <v>1390.0</v>
      </c>
    </row>
    <row r="209" ht="16.5" customHeight="1">
      <c r="A209" s="1"/>
      <c r="B209" s="71" t="s">
        <v>184</v>
      </c>
      <c r="C209" s="72">
        <v>5000.0</v>
      </c>
    </row>
    <row r="210" ht="18.75" customHeight="1">
      <c r="A210" s="1"/>
      <c r="B210" s="15" t="s">
        <v>185</v>
      </c>
      <c r="C210" s="16">
        <v>15060.0</v>
      </c>
    </row>
    <row r="211" ht="18.0" customHeight="1">
      <c r="A211" s="1"/>
      <c r="B211" s="175" t="s">
        <v>186</v>
      </c>
      <c r="C211" s="174"/>
    </row>
    <row r="212" ht="16.5" customHeight="1">
      <c r="A212" s="1"/>
      <c r="B212" s="122" t="s">
        <v>23</v>
      </c>
      <c r="C212" s="125">
        <v>3970.0</v>
      </c>
    </row>
    <row r="213" ht="16.5" customHeight="1">
      <c r="A213" s="1"/>
      <c r="B213" s="118" t="s">
        <v>24</v>
      </c>
      <c r="C213" s="153">
        <v>1700.0</v>
      </c>
    </row>
    <row r="214" ht="16.5" customHeight="1">
      <c r="A214" s="1"/>
      <c r="B214" s="115" t="s">
        <v>25</v>
      </c>
      <c r="C214" s="70">
        <v>900.0</v>
      </c>
    </row>
    <row r="215" ht="16.5" customHeight="1">
      <c r="A215" s="1"/>
      <c r="B215" s="115" t="s">
        <v>26</v>
      </c>
      <c r="C215" s="134"/>
    </row>
    <row r="216" ht="16.5" customHeight="1">
      <c r="A216" s="1"/>
      <c r="B216" s="118" t="s">
        <v>27</v>
      </c>
      <c r="C216" s="134"/>
    </row>
    <row r="217" ht="16.5" customHeight="1">
      <c r="A217" s="1"/>
      <c r="B217" s="132" t="s">
        <v>28</v>
      </c>
      <c r="C217" s="134"/>
    </row>
    <row r="218" ht="16.5" customHeight="1">
      <c r="A218" s="1"/>
      <c r="B218" s="129" t="s">
        <v>29</v>
      </c>
      <c r="C218" s="134">
        <v>600.0</v>
      </c>
    </row>
    <row r="219" ht="16.5" customHeight="1">
      <c r="A219" s="1"/>
      <c r="B219" s="136" t="s">
        <v>30</v>
      </c>
      <c r="C219" s="137">
        <v>800.0</v>
      </c>
    </row>
    <row r="220" ht="16.5" customHeight="1">
      <c r="A220" s="1"/>
      <c r="B220" s="66" t="s">
        <v>31</v>
      </c>
      <c r="C220" s="67">
        <v>800.0</v>
      </c>
    </row>
    <row r="221" ht="18.75" customHeight="1">
      <c r="A221" s="1"/>
      <c r="B221" s="24" t="s">
        <v>187</v>
      </c>
      <c r="C221" s="25">
        <v>8770.0</v>
      </c>
    </row>
    <row r="222" ht="21.75" customHeight="1">
      <c r="A222" s="1"/>
      <c r="B222" s="176" t="s">
        <v>208</v>
      </c>
      <c r="C222" s="29">
        <v>23830.0</v>
      </c>
    </row>
    <row r="223" ht="7.5" customHeight="1">
      <c r="A223" s="1"/>
      <c r="B223" s="1"/>
      <c r="C223" s="1"/>
    </row>
    <row r="224" ht="21.75" customHeight="1">
      <c r="A224" s="1"/>
      <c r="B224" s="27" t="s">
        <v>209</v>
      </c>
      <c r="C224" s="4"/>
    </row>
    <row r="225" ht="18.0" customHeight="1">
      <c r="A225" s="1"/>
      <c r="B225" s="173" t="s">
        <v>180</v>
      </c>
      <c r="C225" s="174"/>
    </row>
    <row r="226" ht="16.5" customHeight="1">
      <c r="A226" s="1"/>
      <c r="B226" s="10" t="s">
        <v>181</v>
      </c>
      <c r="C226" s="11">
        <v>6670.0</v>
      </c>
    </row>
    <row r="227" ht="16.5" customHeight="1">
      <c r="A227" s="1"/>
      <c r="B227" s="66" t="s">
        <v>182</v>
      </c>
      <c r="C227" s="67">
        <v>2000.0</v>
      </c>
    </row>
    <row r="228" ht="16.5" customHeight="1">
      <c r="A228" s="1"/>
      <c r="B228" s="69" t="s">
        <v>183</v>
      </c>
      <c r="C228" s="70">
        <v>1390.0</v>
      </c>
    </row>
    <row r="229" ht="16.5" customHeight="1">
      <c r="A229" s="1"/>
      <c r="B229" s="71" t="s">
        <v>184</v>
      </c>
      <c r="C229" s="72">
        <v>5000.0</v>
      </c>
    </row>
    <row r="230" ht="18.75" customHeight="1">
      <c r="A230" s="1"/>
      <c r="B230" s="15" t="s">
        <v>185</v>
      </c>
      <c r="C230" s="16">
        <v>15060.0</v>
      </c>
    </row>
    <row r="231" ht="18.0" customHeight="1">
      <c r="A231" s="1"/>
      <c r="B231" s="175" t="s">
        <v>186</v>
      </c>
      <c r="C231" s="174"/>
    </row>
    <row r="232" ht="16.5" customHeight="1">
      <c r="A232" s="1"/>
      <c r="B232" s="122" t="s">
        <v>23</v>
      </c>
      <c r="C232" s="125">
        <v>3970.0</v>
      </c>
    </row>
    <row r="233" ht="16.5" customHeight="1">
      <c r="A233" s="1"/>
      <c r="B233" s="118" t="s">
        <v>24</v>
      </c>
      <c r="C233" s="153">
        <v>1700.0</v>
      </c>
    </row>
    <row r="234" ht="16.5" customHeight="1">
      <c r="A234" s="1"/>
      <c r="B234" s="115" t="s">
        <v>25</v>
      </c>
      <c r="C234" s="70"/>
    </row>
    <row r="235" ht="16.5" customHeight="1">
      <c r="A235" s="1"/>
      <c r="B235" s="115" t="s">
        <v>26</v>
      </c>
      <c r="C235" s="70"/>
    </row>
    <row r="236" ht="16.5" customHeight="1">
      <c r="A236" s="1"/>
      <c r="B236" s="118" t="s">
        <v>27</v>
      </c>
      <c r="C236" s="70"/>
    </row>
    <row r="237" ht="16.5" customHeight="1">
      <c r="A237" s="1"/>
      <c r="B237" s="132" t="s">
        <v>28</v>
      </c>
      <c r="C237" s="70">
        <v>900.0</v>
      </c>
    </row>
    <row r="238" ht="16.5" customHeight="1">
      <c r="A238" s="1"/>
      <c r="B238" s="129" t="s">
        <v>29</v>
      </c>
      <c r="C238" s="134">
        <v>600.0</v>
      </c>
    </row>
    <row r="239" ht="16.5" customHeight="1">
      <c r="A239" s="1"/>
      <c r="B239" s="136" t="s">
        <v>30</v>
      </c>
      <c r="C239" s="137">
        <v>800.0</v>
      </c>
    </row>
    <row r="240" ht="16.5" customHeight="1">
      <c r="A240" s="1"/>
      <c r="B240" s="66" t="s">
        <v>31</v>
      </c>
      <c r="C240" s="67">
        <v>800.0</v>
      </c>
    </row>
    <row r="241" ht="18.75" customHeight="1">
      <c r="A241" s="1"/>
      <c r="B241" s="24" t="s">
        <v>187</v>
      </c>
      <c r="C241" s="25">
        <v>8770.0</v>
      </c>
    </row>
    <row r="242" ht="21.75" customHeight="1">
      <c r="A242" s="1"/>
      <c r="B242" s="176" t="s">
        <v>210</v>
      </c>
      <c r="C242" s="29">
        <v>23830.0</v>
      </c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  <row r="1001" ht="15.75" customHeight="1">
      <c r="A1001" s="1"/>
      <c r="B1001" s="1"/>
      <c r="C1001" s="1"/>
    </row>
    <row r="1002" ht="15.75" customHeight="1">
      <c r="A1002" s="1"/>
      <c r="B1002" s="1"/>
      <c r="C1002" s="1"/>
    </row>
    <row r="1003" ht="15.75" customHeight="1">
      <c r="A1003" s="1"/>
      <c r="B1003" s="1"/>
      <c r="C1003" s="1"/>
    </row>
    <row r="1004" ht="15.75" customHeight="1">
      <c r="A1004" s="1"/>
      <c r="B1004" s="1"/>
      <c r="C1004" s="1"/>
    </row>
    <row r="1005" ht="15.75" customHeight="1">
      <c r="A1005" s="1"/>
      <c r="B1005" s="1"/>
      <c r="C1005" s="1"/>
    </row>
    <row r="1006" ht="15.75" customHeight="1">
      <c r="A1006" s="1"/>
      <c r="B1006" s="1"/>
      <c r="C1006" s="1"/>
    </row>
    <row r="1007" ht="15.75" customHeight="1">
      <c r="A1007" s="1"/>
      <c r="B1007" s="1"/>
      <c r="C1007" s="1"/>
    </row>
    <row r="1008" ht="15.75" customHeight="1">
      <c r="A1008" s="1"/>
      <c r="B1008" s="1"/>
      <c r="C1008" s="1"/>
    </row>
    <row r="1009" ht="15.75" customHeight="1">
      <c r="A1009" s="1"/>
      <c r="B1009" s="1"/>
      <c r="C1009" s="1"/>
    </row>
    <row r="1010" ht="15.75" customHeight="1">
      <c r="A1010" s="1"/>
      <c r="B1010" s="1"/>
      <c r="C1010" s="1"/>
    </row>
    <row r="1011" ht="15.75" customHeight="1">
      <c r="A1011" s="1"/>
      <c r="B1011" s="1"/>
      <c r="C1011" s="1"/>
    </row>
    <row r="1012" ht="15.75" customHeight="1">
      <c r="A1012" s="1"/>
      <c r="B1012" s="1"/>
      <c r="C1012" s="1"/>
    </row>
    <row r="1013" ht="15.75" customHeight="1">
      <c r="A1013" s="1"/>
      <c r="B1013" s="1"/>
      <c r="C1013" s="1"/>
    </row>
    <row r="1014" ht="15.75" customHeight="1">
      <c r="A1014" s="1"/>
      <c r="B1014" s="1"/>
      <c r="C1014" s="1"/>
    </row>
    <row r="1015" ht="15.75" customHeight="1">
      <c r="A1015" s="1"/>
      <c r="B1015" s="1"/>
      <c r="C1015" s="1"/>
    </row>
    <row r="1016" ht="15.75" customHeight="1">
      <c r="A1016" s="1"/>
      <c r="B1016" s="1"/>
      <c r="C1016" s="1"/>
    </row>
    <row r="1017" ht="15.75" customHeight="1">
      <c r="A1017" s="1"/>
      <c r="B1017" s="1"/>
      <c r="C1017" s="1"/>
    </row>
    <row r="1018" ht="15.75" customHeight="1">
      <c r="A1018" s="1"/>
      <c r="B1018" s="1"/>
      <c r="C1018" s="1"/>
    </row>
    <row r="1019" ht="15.75" customHeight="1">
      <c r="A1019" s="1"/>
      <c r="B1019" s="1"/>
      <c r="C1019" s="1"/>
    </row>
    <row r="1020" ht="15.75" customHeight="1">
      <c r="A1020" s="1"/>
      <c r="B1020" s="1"/>
      <c r="C1020" s="1"/>
    </row>
    <row r="1021" ht="15.75" customHeight="1">
      <c r="A1021" s="1"/>
      <c r="B1021" s="1"/>
      <c r="C1021" s="1"/>
    </row>
    <row r="1022" ht="15.75" customHeight="1">
      <c r="A1022" s="1"/>
      <c r="B1022" s="1"/>
      <c r="C1022" s="1"/>
    </row>
    <row r="1023" ht="15.75" customHeight="1">
      <c r="A1023" s="1"/>
      <c r="B1023" s="1"/>
      <c r="C1023" s="1"/>
    </row>
    <row r="1024" ht="15.75" customHeight="1">
      <c r="A1024" s="1"/>
      <c r="B1024" s="1"/>
      <c r="C1024" s="1"/>
    </row>
    <row r="1025" ht="15.75" customHeight="1">
      <c r="A1025" s="1"/>
      <c r="B1025" s="1"/>
      <c r="C1025" s="1"/>
    </row>
    <row r="1026" ht="15.75" customHeight="1">
      <c r="A1026" s="1"/>
      <c r="B1026" s="1"/>
      <c r="C1026" s="1"/>
    </row>
    <row r="1027" ht="15.75" customHeight="1">
      <c r="A1027" s="1"/>
      <c r="B1027" s="1"/>
      <c r="C1027" s="1"/>
    </row>
    <row r="1028" ht="15.75" customHeight="1">
      <c r="A1028" s="1"/>
      <c r="B1028" s="1"/>
      <c r="C1028" s="1"/>
    </row>
    <row r="1029" ht="15.75" customHeight="1">
      <c r="A1029" s="1"/>
      <c r="B1029" s="1"/>
      <c r="C1029" s="1"/>
    </row>
    <row r="1030" ht="15.75" customHeight="1">
      <c r="A1030" s="1"/>
      <c r="B1030" s="1"/>
      <c r="C1030" s="1"/>
    </row>
    <row r="1031" ht="15.75" customHeight="1">
      <c r="A1031" s="1"/>
      <c r="B1031" s="1"/>
      <c r="C1031" s="1"/>
    </row>
    <row r="1032" ht="15.75" customHeight="1">
      <c r="A1032" s="1"/>
      <c r="B1032" s="1"/>
      <c r="C1032" s="1"/>
    </row>
    <row r="1033" ht="15.75" customHeight="1">
      <c r="A1033" s="1"/>
      <c r="B1033" s="1"/>
      <c r="C1033" s="1"/>
    </row>
    <row r="1034" ht="15.75" customHeight="1">
      <c r="A1034" s="1"/>
      <c r="B1034" s="1"/>
      <c r="C1034" s="1"/>
    </row>
    <row r="1035" ht="15.75" customHeight="1">
      <c r="A1035" s="1"/>
      <c r="B1035" s="1"/>
      <c r="C1035" s="1"/>
    </row>
    <row r="1036" ht="15.75" customHeight="1">
      <c r="A1036" s="1"/>
      <c r="B1036" s="1"/>
      <c r="C1036" s="1"/>
    </row>
  </sheetData>
  <mergeCells count="37">
    <mergeCell ref="B1:C1"/>
    <mergeCell ref="B4:C4"/>
    <mergeCell ref="B5:C5"/>
    <mergeCell ref="B11:C11"/>
    <mergeCell ref="B24:C24"/>
    <mergeCell ref="B25:C25"/>
    <mergeCell ref="B31:C31"/>
    <mergeCell ref="B44:C44"/>
    <mergeCell ref="B45:C45"/>
    <mergeCell ref="B51:C51"/>
    <mergeCell ref="B64:C64"/>
    <mergeCell ref="B65:C65"/>
    <mergeCell ref="B71:C71"/>
    <mergeCell ref="B84:C84"/>
    <mergeCell ref="B85:C85"/>
    <mergeCell ref="B91:C91"/>
    <mergeCell ref="B104:C104"/>
    <mergeCell ref="B105:C105"/>
    <mergeCell ref="B111:C111"/>
    <mergeCell ref="B124:C124"/>
    <mergeCell ref="B125:C125"/>
    <mergeCell ref="B131:C131"/>
    <mergeCell ref="B144:C144"/>
    <mergeCell ref="B145:C145"/>
    <mergeCell ref="B151:C151"/>
    <mergeCell ref="B164:C164"/>
    <mergeCell ref="B165:C165"/>
    <mergeCell ref="B171:C171"/>
    <mergeCell ref="B225:C225"/>
    <mergeCell ref="B231:C231"/>
    <mergeCell ref="B184:C184"/>
    <mergeCell ref="B185:C185"/>
    <mergeCell ref="B191:C191"/>
    <mergeCell ref="B204:C204"/>
    <mergeCell ref="B205:C205"/>
    <mergeCell ref="B211:C211"/>
    <mergeCell ref="B224:C22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71"/>
    <col customWidth="1" min="3" max="3" width="5.0"/>
    <col customWidth="1" min="4" max="26" width="8.71"/>
  </cols>
  <sheetData>
    <row r="1" ht="31.5" customHeight="1">
      <c r="A1" s="179"/>
      <c r="B1" s="180" t="s">
        <v>211</v>
      </c>
      <c r="C1" s="179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</row>
    <row r="2" ht="7.5" customHeight="1">
      <c r="A2" s="179"/>
      <c r="B2" s="179"/>
      <c r="C2" s="179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</row>
    <row r="3" ht="19.5" customHeight="1">
      <c r="A3" s="179"/>
      <c r="B3" s="182" t="s">
        <v>212</v>
      </c>
      <c r="C3" s="179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</row>
    <row r="4" ht="19.5" customHeight="1">
      <c r="A4" s="179"/>
      <c r="B4" s="183" t="s">
        <v>213</v>
      </c>
      <c r="C4" s="179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</row>
    <row r="5" ht="19.5" customHeight="1">
      <c r="A5" s="179"/>
      <c r="B5" s="184" t="s">
        <v>214</v>
      </c>
      <c r="C5" s="179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</row>
    <row r="6" ht="19.5" customHeight="1">
      <c r="A6" s="179"/>
      <c r="B6" s="183" t="s">
        <v>215</v>
      </c>
      <c r="C6" s="179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</row>
    <row r="7" ht="19.5" customHeight="1">
      <c r="A7" s="179"/>
      <c r="B7" s="184" t="s">
        <v>216</v>
      </c>
      <c r="C7" s="179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ht="7.5" customHeight="1">
      <c r="A8" s="179"/>
      <c r="B8" s="179"/>
      <c r="C8" s="179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ht="19.5" customHeight="1">
      <c r="A9" s="179"/>
      <c r="B9" s="182" t="s">
        <v>217</v>
      </c>
      <c r="C9" s="179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ht="19.5" customHeight="1">
      <c r="A10" s="179"/>
      <c r="B10" s="183" t="s">
        <v>218</v>
      </c>
      <c r="C10" s="179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ht="19.5" customHeight="1">
      <c r="A11" s="179"/>
      <c r="B11" s="184" t="s">
        <v>219</v>
      </c>
      <c r="C11" s="179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ht="19.5" customHeight="1">
      <c r="A12" s="179"/>
      <c r="B12" s="183" t="s">
        <v>220</v>
      </c>
      <c r="C12" s="179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ht="19.5" customHeight="1">
      <c r="A13" s="179"/>
      <c r="B13" s="184" t="s">
        <v>221</v>
      </c>
      <c r="C13" s="179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ht="19.5" customHeight="1">
      <c r="A14" s="179"/>
      <c r="B14" s="183" t="s">
        <v>222</v>
      </c>
      <c r="C14" s="179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ht="19.5" customHeight="1">
      <c r="A15" s="179"/>
      <c r="B15" s="184" t="s">
        <v>223</v>
      </c>
      <c r="C15" s="179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ht="7.5" customHeight="1">
      <c r="A16" s="179"/>
      <c r="B16" s="179"/>
      <c r="C16" s="179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ht="19.5" customHeight="1">
      <c r="A17" s="179"/>
      <c r="B17" s="182" t="s">
        <v>224</v>
      </c>
      <c r="C17" s="179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ht="19.5" customHeight="1">
      <c r="A18" s="179"/>
      <c r="B18" s="183" t="s">
        <v>225</v>
      </c>
      <c r="C18" s="179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ht="19.5" customHeight="1">
      <c r="A19" s="179"/>
      <c r="B19" s="184" t="s">
        <v>226</v>
      </c>
      <c r="C19" s="179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ht="19.5" customHeight="1">
      <c r="A20" s="179"/>
      <c r="B20" s="183" t="s">
        <v>227</v>
      </c>
      <c r="C20" s="179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ht="7.5" customHeight="1">
      <c r="A21" s="179"/>
      <c r="B21" s="179"/>
      <c r="C21" s="179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ht="19.5" customHeight="1">
      <c r="A22" s="179"/>
      <c r="B22" s="182" t="s">
        <v>228</v>
      </c>
      <c r="C22" s="179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 ht="19.5" customHeight="1">
      <c r="A23" s="179"/>
      <c r="B23" s="184" t="s">
        <v>229</v>
      </c>
      <c r="C23" s="179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 ht="19.5" customHeight="1">
      <c r="A24" s="179"/>
      <c r="B24" s="183" t="s">
        <v>230</v>
      </c>
      <c r="C24" s="179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</row>
    <row r="25" ht="19.5" customHeight="1">
      <c r="A25" s="179"/>
      <c r="B25" s="184" t="s">
        <v>231</v>
      </c>
      <c r="C25" s="179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</row>
    <row r="26" ht="7.5" customHeight="1">
      <c r="A26" s="179"/>
      <c r="B26" s="179"/>
      <c r="C26" s="179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</row>
    <row r="27" ht="19.5" customHeight="1">
      <c r="A27" s="179"/>
      <c r="B27" s="182" t="s">
        <v>232</v>
      </c>
      <c r="C27" s="179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</row>
    <row r="28" ht="19.5" customHeight="1">
      <c r="A28" s="179"/>
      <c r="B28" s="183" t="s">
        <v>233</v>
      </c>
      <c r="C28" s="179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</row>
    <row r="29" ht="19.5" customHeight="1">
      <c r="A29" s="179"/>
      <c r="B29" s="184" t="s">
        <v>234</v>
      </c>
      <c r="C29" s="179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</row>
    <row r="30" ht="15.75" customHeight="1">
      <c r="A30" s="179"/>
      <c r="B30" s="179"/>
      <c r="C30" s="179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</row>
    <row r="31" ht="15.75" customHeight="1">
      <c r="A31" s="179"/>
      <c r="B31" s="179"/>
      <c r="C31" s="179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</row>
    <row r="32" ht="15.75" customHeight="1">
      <c r="A32" s="179"/>
      <c r="B32" s="179"/>
      <c r="C32" s="179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</row>
    <row r="33" ht="15.75" customHeight="1">
      <c r="A33" s="179"/>
      <c r="B33" s="179"/>
      <c r="C33" s="179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</row>
    <row r="34" ht="15.75" customHeight="1">
      <c r="A34" s="179"/>
      <c r="B34" s="179"/>
      <c r="C34" s="179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 ht="15.75" customHeight="1">
      <c r="A35" s="179"/>
      <c r="B35" s="179"/>
      <c r="C35" s="179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ht="15.75" customHeight="1">
      <c r="A36" s="179"/>
      <c r="B36" s="179"/>
      <c r="C36" s="179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 ht="15.75" customHeight="1">
      <c r="A37" s="179"/>
      <c r="B37" s="179"/>
      <c r="C37" s="179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 ht="15.75" customHeight="1">
      <c r="A38" s="179"/>
      <c r="B38" s="179"/>
      <c r="C38" s="179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 ht="15.75" customHeight="1">
      <c r="A39" s="179"/>
      <c r="B39" s="179"/>
      <c r="C39" s="179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 ht="15.75" customHeight="1">
      <c r="A40" s="179"/>
      <c r="B40" s="179"/>
      <c r="C40" s="179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 ht="15.75" customHeight="1">
      <c r="A41" s="179"/>
      <c r="B41" s="179"/>
      <c r="C41" s="179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 ht="15.75" customHeight="1">
      <c r="A42" s="179"/>
      <c r="B42" s="179"/>
      <c r="C42" s="179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 ht="15.75" customHeight="1">
      <c r="A43" s="179"/>
      <c r="B43" s="179"/>
      <c r="C43" s="179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 ht="15.75" customHeight="1">
      <c r="A44" s="179"/>
      <c r="B44" s="179"/>
      <c r="C44" s="179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 ht="15.75" customHeight="1">
      <c r="A45" s="179"/>
      <c r="B45" s="179"/>
      <c r="C45" s="179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 ht="15.75" customHeight="1">
      <c r="A46" s="179"/>
      <c r="B46" s="179"/>
      <c r="C46" s="179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 ht="15.75" customHeight="1">
      <c r="A47" s="179"/>
      <c r="B47" s="179"/>
      <c r="C47" s="179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 ht="15.75" customHeight="1">
      <c r="A48" s="179"/>
      <c r="B48" s="179"/>
      <c r="C48" s="179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 ht="15.75" customHeight="1">
      <c r="A49" s="179"/>
      <c r="B49" s="179"/>
      <c r="C49" s="179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 ht="15.75" customHeight="1">
      <c r="A50" s="179"/>
      <c r="B50" s="179"/>
      <c r="C50" s="179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 ht="15.75" customHeight="1">
      <c r="A51" s="179"/>
      <c r="B51" s="179"/>
      <c r="C51" s="179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</row>
    <row r="52" ht="15.75" customHeight="1">
      <c r="A52" s="179"/>
      <c r="B52" s="179"/>
      <c r="C52" s="179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ht="15.75" customHeight="1">
      <c r="A53" s="179"/>
      <c r="B53" s="179"/>
      <c r="C53" s="179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</row>
    <row r="54" ht="15.75" customHeight="1">
      <c r="A54" s="179"/>
      <c r="B54" s="179"/>
      <c r="C54" s="179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</row>
    <row r="55" ht="15.75" customHeight="1">
      <c r="A55" s="179"/>
      <c r="B55" s="179"/>
      <c r="C55" s="179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</row>
    <row r="56" ht="15.75" customHeight="1">
      <c r="A56" s="179"/>
      <c r="B56" s="179"/>
      <c r="C56" s="179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</row>
    <row r="57" ht="15.75" customHeight="1">
      <c r="A57" s="179"/>
      <c r="B57" s="179"/>
      <c r="C57" s="179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</row>
    <row r="58" ht="15.75" customHeight="1">
      <c r="A58" s="179"/>
      <c r="B58" s="179"/>
      <c r="C58" s="179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</row>
    <row r="59" ht="15.75" customHeight="1">
      <c r="A59" s="179"/>
      <c r="B59" s="179"/>
      <c r="C59" s="179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</row>
    <row r="60" ht="15.75" customHeight="1">
      <c r="A60" s="179"/>
      <c r="B60" s="179"/>
      <c r="C60" s="179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</row>
    <row r="61" ht="15.75" customHeight="1">
      <c r="A61" s="179"/>
      <c r="B61" s="179"/>
      <c r="C61" s="179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</row>
    <row r="62" ht="15.75" customHeight="1">
      <c r="A62" s="179"/>
      <c r="B62" s="179"/>
      <c r="C62" s="179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</row>
    <row r="63" ht="15.75" customHeight="1">
      <c r="A63" s="179"/>
      <c r="B63" s="179"/>
      <c r="C63" s="179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</row>
    <row r="64" ht="15.75" customHeight="1">
      <c r="A64" s="179"/>
      <c r="B64" s="179"/>
      <c r="C64" s="179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</row>
    <row r="65" ht="15.75" customHeight="1">
      <c r="A65" s="179"/>
      <c r="B65" s="179"/>
      <c r="C65" s="179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</row>
    <row r="66" ht="15.75" customHeight="1">
      <c r="A66" s="179"/>
      <c r="B66" s="179"/>
      <c r="C66" s="179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</row>
    <row r="67" ht="15.75" customHeight="1">
      <c r="A67" s="179"/>
      <c r="B67" s="179"/>
      <c r="C67" s="179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</row>
    <row r="68" ht="15.75" customHeight="1">
      <c r="A68" s="179"/>
      <c r="B68" s="179"/>
      <c r="C68" s="179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</row>
    <row r="69" ht="15.75" customHeight="1">
      <c r="A69" s="179"/>
      <c r="B69" s="179"/>
      <c r="C69" s="179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</row>
    <row r="70" ht="15.75" customHeight="1">
      <c r="A70" s="179"/>
      <c r="B70" s="179"/>
      <c r="C70" s="179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</row>
    <row r="71" ht="15.75" customHeight="1">
      <c r="A71" s="179"/>
      <c r="B71" s="179"/>
      <c r="C71" s="179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</row>
    <row r="72" ht="15.75" customHeight="1">
      <c r="A72" s="179"/>
      <c r="B72" s="179"/>
      <c r="C72" s="179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</row>
    <row r="73" ht="15.75" customHeight="1">
      <c r="A73" s="179"/>
      <c r="B73" s="179"/>
      <c r="C73" s="179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</row>
    <row r="74" ht="15.75" customHeight="1">
      <c r="A74" s="179"/>
      <c r="B74" s="179"/>
      <c r="C74" s="179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</row>
    <row r="75" ht="15.75" customHeight="1">
      <c r="A75" s="179"/>
      <c r="B75" s="179"/>
      <c r="C75" s="179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</row>
    <row r="76" ht="15.75" customHeight="1">
      <c r="A76" s="179"/>
      <c r="B76" s="179"/>
      <c r="C76" s="179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</row>
    <row r="77" ht="15.75" customHeight="1">
      <c r="A77" s="179"/>
      <c r="B77" s="179"/>
      <c r="C77" s="179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</row>
    <row r="78" ht="15.75" customHeight="1">
      <c r="A78" s="179"/>
      <c r="B78" s="179"/>
      <c r="C78" s="179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</row>
    <row r="79" ht="15.75" customHeight="1">
      <c r="A79" s="179"/>
      <c r="B79" s="179"/>
      <c r="C79" s="179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</row>
    <row r="80" ht="15.75" customHeight="1">
      <c r="A80" s="179"/>
      <c r="B80" s="179"/>
      <c r="C80" s="179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</row>
    <row r="81" ht="15.75" customHeight="1">
      <c r="A81" s="179"/>
      <c r="B81" s="179"/>
      <c r="C81" s="179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</row>
    <row r="82" ht="15.75" customHeight="1">
      <c r="A82" s="179"/>
      <c r="B82" s="179"/>
      <c r="C82" s="179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</row>
    <row r="83" ht="15.75" customHeight="1">
      <c r="A83" s="179"/>
      <c r="B83" s="179"/>
      <c r="C83" s="179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</row>
    <row r="84" ht="15.75" customHeight="1">
      <c r="A84" s="179"/>
      <c r="B84" s="179"/>
      <c r="C84" s="179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</row>
    <row r="85" ht="15.75" customHeight="1">
      <c r="A85" s="179"/>
      <c r="B85" s="179"/>
      <c r="C85" s="179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</row>
    <row r="86" ht="15.75" customHeight="1">
      <c r="A86" s="179"/>
      <c r="B86" s="179"/>
      <c r="C86" s="179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</row>
    <row r="87" ht="15.75" customHeight="1">
      <c r="A87" s="179"/>
      <c r="B87" s="179"/>
      <c r="C87" s="179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</row>
    <row r="88" ht="15.75" customHeight="1">
      <c r="A88" s="179"/>
      <c r="B88" s="179"/>
      <c r="C88" s="179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</row>
    <row r="89" ht="15.75" customHeight="1">
      <c r="A89" s="179"/>
      <c r="B89" s="179"/>
      <c r="C89" s="179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</row>
    <row r="90" ht="15.75" customHeight="1">
      <c r="A90" s="179"/>
      <c r="B90" s="179"/>
      <c r="C90" s="179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</row>
    <row r="91" ht="15.75" customHeight="1">
      <c r="A91" s="179"/>
      <c r="B91" s="179"/>
      <c r="C91" s="179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</row>
    <row r="92" ht="15.75" customHeight="1">
      <c r="A92" s="179"/>
      <c r="B92" s="179"/>
      <c r="C92" s="179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</row>
    <row r="93" ht="15.75" customHeight="1">
      <c r="A93" s="179"/>
      <c r="B93" s="179"/>
      <c r="C93" s="179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</row>
    <row r="94" ht="15.75" customHeight="1">
      <c r="A94" s="179"/>
      <c r="B94" s="179"/>
      <c r="C94" s="179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</row>
    <row r="95" ht="15.75" customHeight="1">
      <c r="A95" s="179"/>
      <c r="B95" s="179"/>
      <c r="C95" s="179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</row>
    <row r="96" ht="15.75" customHeight="1">
      <c r="A96" s="179"/>
      <c r="B96" s="179"/>
      <c r="C96" s="179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</row>
    <row r="97" ht="15.75" customHeight="1">
      <c r="A97" s="179"/>
      <c r="B97" s="179"/>
      <c r="C97" s="179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</row>
    <row r="98" ht="15.75" customHeight="1">
      <c r="A98" s="179"/>
      <c r="B98" s="179"/>
      <c r="C98" s="179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</row>
    <row r="99" ht="15.75" customHeight="1">
      <c r="A99" s="179"/>
      <c r="B99" s="179"/>
      <c r="C99" s="179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</row>
    <row r="100" ht="15.75" customHeight="1">
      <c r="A100" s="179"/>
      <c r="B100" s="179"/>
      <c r="C100" s="179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</row>
    <row r="101" ht="15.75" customHeight="1">
      <c r="A101" s="179"/>
      <c r="B101" s="179"/>
      <c r="C101" s="179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</row>
    <row r="102" ht="15.75" customHeight="1">
      <c r="A102" s="179"/>
      <c r="B102" s="179"/>
      <c r="C102" s="179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</row>
    <row r="103" ht="15.75" customHeight="1">
      <c r="A103" s="179"/>
      <c r="B103" s="179"/>
      <c r="C103" s="179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</row>
    <row r="104" ht="15.75" customHeight="1">
      <c r="A104" s="179"/>
      <c r="B104" s="179"/>
      <c r="C104" s="179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 ht="15.75" customHeight="1">
      <c r="A105" s="179"/>
      <c r="B105" s="179"/>
      <c r="C105" s="179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 ht="15.75" customHeight="1">
      <c r="A106" s="179"/>
      <c r="B106" s="179"/>
      <c r="C106" s="179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 ht="15.75" customHeight="1">
      <c r="A107" s="179"/>
      <c r="B107" s="179"/>
      <c r="C107" s="179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ht="15.75" customHeight="1">
      <c r="A108" s="179"/>
      <c r="B108" s="179"/>
      <c r="C108" s="179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 ht="15.75" customHeight="1">
      <c r="A109" s="179"/>
      <c r="B109" s="179"/>
      <c r="C109" s="179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 ht="15.75" customHeight="1">
      <c r="A110" s="179"/>
      <c r="B110" s="179"/>
      <c r="C110" s="179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 ht="15.75" customHeight="1">
      <c r="A111" s="179"/>
      <c r="B111" s="179"/>
      <c r="C111" s="179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 ht="15.75" customHeight="1">
      <c r="A112" s="179"/>
      <c r="B112" s="179"/>
      <c r="C112" s="179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</row>
    <row r="113" ht="15.75" customHeight="1">
      <c r="A113" s="179"/>
      <c r="B113" s="179"/>
      <c r="C113" s="179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</row>
    <row r="114" ht="15.75" customHeight="1">
      <c r="A114" s="179"/>
      <c r="B114" s="179"/>
      <c r="C114" s="179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</row>
    <row r="115" ht="15.75" customHeight="1">
      <c r="A115" s="179"/>
      <c r="B115" s="179"/>
      <c r="C115" s="179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</row>
    <row r="116" ht="15.75" customHeight="1">
      <c r="A116" s="179"/>
      <c r="B116" s="179"/>
      <c r="C116" s="179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 ht="15.75" customHeight="1">
      <c r="A117" s="179"/>
      <c r="B117" s="179"/>
      <c r="C117" s="179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 ht="15.75" customHeight="1">
      <c r="A118" s="179"/>
      <c r="B118" s="179"/>
      <c r="C118" s="179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</row>
    <row r="119" ht="15.75" customHeight="1">
      <c r="A119" s="179"/>
      <c r="B119" s="179"/>
      <c r="C119" s="179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 ht="15.75" customHeight="1">
      <c r="A120" s="179"/>
      <c r="B120" s="179"/>
      <c r="C120" s="179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 ht="15.75" customHeight="1">
      <c r="A121" s="179"/>
      <c r="B121" s="179"/>
      <c r="C121" s="179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 ht="15.75" customHeight="1">
      <c r="A122" s="179"/>
      <c r="B122" s="179"/>
      <c r="C122" s="179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 ht="15.75" customHeight="1">
      <c r="A123" s="179"/>
      <c r="B123" s="179"/>
      <c r="C123" s="179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 ht="15.75" customHeight="1">
      <c r="A124" s="179"/>
      <c r="B124" s="179"/>
      <c r="C124" s="179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 ht="15.75" customHeight="1">
      <c r="A125" s="179"/>
      <c r="B125" s="179"/>
      <c r="C125" s="179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</row>
    <row r="126" ht="15.75" customHeight="1">
      <c r="A126" s="179"/>
      <c r="B126" s="179"/>
      <c r="C126" s="179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</row>
    <row r="127" ht="15.75" customHeight="1">
      <c r="A127" s="179"/>
      <c r="B127" s="179"/>
      <c r="C127" s="179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</row>
    <row r="128" ht="15.75" customHeight="1">
      <c r="A128" s="179"/>
      <c r="B128" s="179"/>
      <c r="C128" s="179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</row>
    <row r="129" ht="15.75" customHeight="1">
      <c r="A129" s="179"/>
      <c r="B129" s="179"/>
      <c r="C129" s="179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</row>
    <row r="130" ht="15.75" customHeight="1">
      <c r="A130" s="179"/>
      <c r="B130" s="179"/>
      <c r="C130" s="179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</row>
    <row r="131" ht="15.75" customHeight="1">
      <c r="A131" s="179"/>
      <c r="B131" s="179"/>
      <c r="C131" s="179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</row>
    <row r="132" ht="15.75" customHeight="1">
      <c r="A132" s="179"/>
      <c r="B132" s="179"/>
      <c r="C132" s="179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</row>
    <row r="133" ht="15.75" customHeight="1">
      <c r="A133" s="179"/>
      <c r="B133" s="179"/>
      <c r="C133" s="179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</row>
    <row r="134" ht="15.75" customHeight="1">
      <c r="A134" s="179"/>
      <c r="B134" s="179"/>
      <c r="C134" s="179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</row>
    <row r="135" ht="15.75" customHeight="1">
      <c r="A135" s="179"/>
      <c r="B135" s="179"/>
      <c r="C135" s="179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</row>
    <row r="136" ht="15.75" customHeight="1">
      <c r="A136" s="179"/>
      <c r="B136" s="179"/>
      <c r="C136" s="179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</row>
    <row r="137" ht="15.75" customHeight="1">
      <c r="A137" s="179"/>
      <c r="B137" s="179"/>
      <c r="C137" s="179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</row>
    <row r="138" ht="15.75" customHeight="1">
      <c r="A138" s="179"/>
      <c r="B138" s="179"/>
      <c r="C138" s="179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</row>
    <row r="139" ht="15.75" customHeight="1">
      <c r="A139" s="179"/>
      <c r="B139" s="179"/>
      <c r="C139" s="179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</row>
    <row r="140" ht="15.75" customHeight="1">
      <c r="A140" s="179"/>
      <c r="B140" s="179"/>
      <c r="C140" s="179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</row>
    <row r="141" ht="15.75" customHeight="1">
      <c r="A141" s="179"/>
      <c r="B141" s="179"/>
      <c r="C141" s="179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</row>
    <row r="142" ht="15.75" customHeight="1">
      <c r="A142" s="179"/>
      <c r="B142" s="179"/>
      <c r="C142" s="179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</row>
    <row r="143" ht="15.75" customHeight="1">
      <c r="A143" s="179"/>
      <c r="B143" s="179"/>
      <c r="C143" s="179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</row>
    <row r="144" ht="15.75" customHeight="1">
      <c r="A144" s="179"/>
      <c r="B144" s="179"/>
      <c r="C144" s="179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</row>
    <row r="145" ht="15.75" customHeight="1">
      <c r="A145" s="179"/>
      <c r="B145" s="179"/>
      <c r="C145" s="179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</row>
    <row r="146" ht="15.75" customHeight="1">
      <c r="A146" s="179"/>
      <c r="B146" s="179"/>
      <c r="C146" s="179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 ht="15.75" customHeight="1">
      <c r="A147" s="179"/>
      <c r="B147" s="179"/>
      <c r="C147" s="179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 ht="15.75" customHeight="1">
      <c r="A148" s="179"/>
      <c r="B148" s="179"/>
      <c r="C148" s="179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</row>
    <row r="149" ht="15.75" customHeight="1">
      <c r="A149" s="179"/>
      <c r="B149" s="179"/>
      <c r="C149" s="179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</row>
    <row r="150" ht="15.75" customHeight="1">
      <c r="A150" s="179"/>
      <c r="B150" s="179"/>
      <c r="C150" s="179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</row>
    <row r="151" ht="15.75" customHeight="1">
      <c r="A151" s="179"/>
      <c r="B151" s="179"/>
      <c r="C151" s="179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</row>
    <row r="152" ht="15.75" customHeight="1">
      <c r="A152" s="179"/>
      <c r="B152" s="179"/>
      <c r="C152" s="179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</row>
    <row r="153" ht="15.75" customHeight="1">
      <c r="A153" s="179"/>
      <c r="B153" s="179"/>
      <c r="C153" s="179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</row>
    <row r="154" ht="15.75" customHeight="1">
      <c r="A154" s="179"/>
      <c r="B154" s="179"/>
      <c r="C154" s="179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</row>
    <row r="155" ht="15.75" customHeight="1">
      <c r="A155" s="179"/>
      <c r="B155" s="179"/>
      <c r="C155" s="179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</row>
    <row r="156" ht="15.75" customHeight="1">
      <c r="A156" s="179"/>
      <c r="B156" s="179"/>
      <c r="C156" s="179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</row>
    <row r="157" ht="15.75" customHeight="1">
      <c r="A157" s="179"/>
      <c r="B157" s="179"/>
      <c r="C157" s="179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</row>
    <row r="158" ht="15.75" customHeight="1">
      <c r="A158" s="179"/>
      <c r="B158" s="179"/>
      <c r="C158" s="179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</row>
    <row r="159" ht="15.75" customHeight="1">
      <c r="A159" s="179"/>
      <c r="B159" s="179"/>
      <c r="C159" s="179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 ht="15.75" customHeight="1">
      <c r="A160" s="179"/>
      <c r="B160" s="179"/>
      <c r="C160" s="179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</row>
    <row r="161" ht="15.75" customHeight="1">
      <c r="A161" s="179"/>
      <c r="B161" s="179"/>
      <c r="C161" s="179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</row>
    <row r="162" ht="15.75" customHeight="1">
      <c r="A162" s="179"/>
      <c r="B162" s="179"/>
      <c r="C162" s="179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 ht="15.75" customHeight="1">
      <c r="A163" s="179"/>
      <c r="B163" s="179"/>
      <c r="C163" s="179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 ht="15.75" customHeight="1">
      <c r="A164" s="179"/>
      <c r="B164" s="179"/>
      <c r="C164" s="179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</row>
    <row r="165" ht="15.75" customHeight="1">
      <c r="A165" s="179"/>
      <c r="B165" s="179"/>
      <c r="C165" s="179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</row>
    <row r="166" ht="15.75" customHeight="1">
      <c r="A166" s="179"/>
      <c r="B166" s="179"/>
      <c r="C166" s="179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</row>
    <row r="167" ht="15.75" customHeight="1">
      <c r="A167" s="179"/>
      <c r="B167" s="179"/>
      <c r="C167" s="179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</row>
    <row r="168" ht="15.75" customHeight="1">
      <c r="A168" s="179"/>
      <c r="B168" s="179"/>
      <c r="C168" s="179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</row>
    <row r="169" ht="15.75" customHeight="1">
      <c r="A169" s="179"/>
      <c r="B169" s="179"/>
      <c r="C169" s="179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</row>
    <row r="170" ht="15.75" customHeight="1">
      <c r="A170" s="179"/>
      <c r="B170" s="179"/>
      <c r="C170" s="179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</row>
    <row r="171" ht="15.75" customHeight="1">
      <c r="A171" s="179"/>
      <c r="B171" s="179"/>
      <c r="C171" s="179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</row>
    <row r="172" ht="15.75" customHeight="1">
      <c r="A172" s="179"/>
      <c r="B172" s="179"/>
      <c r="C172" s="179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</row>
    <row r="173" ht="15.75" customHeight="1">
      <c r="A173" s="179"/>
      <c r="B173" s="179"/>
      <c r="C173" s="179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</row>
    <row r="174" ht="15.75" customHeight="1">
      <c r="A174" s="179"/>
      <c r="B174" s="179"/>
      <c r="C174" s="179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</row>
    <row r="175" ht="15.75" customHeight="1">
      <c r="A175" s="179"/>
      <c r="B175" s="179"/>
      <c r="C175" s="179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</row>
    <row r="176" ht="15.75" customHeight="1">
      <c r="A176" s="179"/>
      <c r="B176" s="179"/>
      <c r="C176" s="179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</row>
    <row r="177" ht="15.75" customHeight="1">
      <c r="A177" s="179"/>
      <c r="B177" s="179"/>
      <c r="C177" s="179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</row>
    <row r="178" ht="15.75" customHeight="1">
      <c r="A178" s="179"/>
      <c r="B178" s="179"/>
      <c r="C178" s="179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</row>
    <row r="179" ht="15.75" customHeight="1">
      <c r="A179" s="179"/>
      <c r="B179" s="179"/>
      <c r="C179" s="179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</row>
    <row r="180" ht="15.75" customHeight="1">
      <c r="A180" s="179"/>
      <c r="B180" s="179"/>
      <c r="C180" s="179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</row>
    <row r="181" ht="15.75" customHeight="1">
      <c r="A181" s="179"/>
      <c r="B181" s="179"/>
      <c r="C181" s="179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</row>
    <row r="182" ht="15.75" customHeight="1">
      <c r="A182" s="179"/>
      <c r="B182" s="179"/>
      <c r="C182" s="179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</row>
    <row r="183" ht="15.75" customHeight="1">
      <c r="A183" s="179"/>
      <c r="B183" s="179"/>
      <c r="C183" s="179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</row>
    <row r="184" ht="15.75" customHeight="1">
      <c r="A184" s="179"/>
      <c r="B184" s="179"/>
      <c r="C184" s="179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</row>
    <row r="185" ht="15.75" customHeight="1">
      <c r="A185" s="179"/>
      <c r="B185" s="179"/>
      <c r="C185" s="179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</row>
    <row r="186" ht="15.75" customHeight="1">
      <c r="A186" s="179"/>
      <c r="B186" s="179"/>
      <c r="C186" s="179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</row>
    <row r="187" ht="15.75" customHeight="1">
      <c r="A187" s="179"/>
      <c r="B187" s="179"/>
      <c r="C187" s="179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</row>
    <row r="188" ht="15.75" customHeight="1">
      <c r="A188" s="179"/>
      <c r="B188" s="179"/>
      <c r="C188" s="179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</row>
    <row r="189" ht="15.75" customHeight="1">
      <c r="A189" s="179"/>
      <c r="B189" s="179"/>
      <c r="C189" s="179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</row>
    <row r="190" ht="15.75" customHeight="1">
      <c r="A190" s="179"/>
      <c r="B190" s="179"/>
      <c r="C190" s="179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</row>
    <row r="191" ht="15.75" customHeight="1">
      <c r="A191" s="179"/>
      <c r="B191" s="179"/>
      <c r="C191" s="179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</row>
    <row r="192" ht="15.75" customHeight="1">
      <c r="A192" s="179"/>
      <c r="B192" s="179"/>
      <c r="C192" s="179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</row>
    <row r="193" ht="15.75" customHeight="1">
      <c r="A193" s="179"/>
      <c r="B193" s="179"/>
      <c r="C193" s="179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</row>
    <row r="194" ht="15.75" customHeight="1">
      <c r="A194" s="179"/>
      <c r="B194" s="179"/>
      <c r="C194" s="179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</row>
    <row r="195" ht="15.75" customHeight="1">
      <c r="A195" s="179"/>
      <c r="B195" s="179"/>
      <c r="C195" s="179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</row>
    <row r="196" ht="15.75" customHeight="1">
      <c r="A196" s="179"/>
      <c r="B196" s="179"/>
      <c r="C196" s="179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ht="15.75" customHeight="1">
      <c r="A197" s="179"/>
      <c r="B197" s="179"/>
      <c r="C197" s="179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</row>
    <row r="198" ht="15.75" customHeight="1">
      <c r="A198" s="179"/>
      <c r="B198" s="179"/>
      <c r="C198" s="179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</row>
    <row r="199" ht="15.75" customHeight="1">
      <c r="A199" s="179"/>
      <c r="B199" s="179"/>
      <c r="C199" s="179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</row>
    <row r="200" ht="15.75" customHeight="1">
      <c r="A200" s="179"/>
      <c r="B200" s="179"/>
      <c r="C200" s="179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</row>
    <row r="201" ht="15.75" customHeight="1">
      <c r="A201" s="179"/>
      <c r="B201" s="179"/>
      <c r="C201" s="179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</row>
    <row r="202" ht="15.75" customHeight="1">
      <c r="A202" s="179"/>
      <c r="B202" s="179"/>
      <c r="C202" s="179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</row>
    <row r="203" ht="15.75" customHeight="1">
      <c r="A203" s="179"/>
      <c r="B203" s="179"/>
      <c r="C203" s="179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</row>
    <row r="204" ht="15.75" customHeight="1">
      <c r="A204" s="179"/>
      <c r="B204" s="179"/>
      <c r="C204" s="179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</row>
    <row r="205" ht="15.75" customHeight="1">
      <c r="A205" s="179"/>
      <c r="B205" s="179"/>
      <c r="C205" s="179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</row>
    <row r="206" ht="15.75" customHeight="1">
      <c r="A206" s="179"/>
      <c r="B206" s="179"/>
      <c r="C206" s="179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</row>
    <row r="207" ht="15.75" customHeight="1">
      <c r="A207" s="179"/>
      <c r="B207" s="179"/>
      <c r="C207" s="179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</row>
    <row r="208" ht="15.75" customHeight="1">
      <c r="A208" s="179"/>
      <c r="B208" s="179"/>
      <c r="C208" s="179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</row>
    <row r="209" ht="15.75" customHeight="1">
      <c r="A209" s="179"/>
      <c r="B209" s="179"/>
      <c r="C209" s="179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</row>
    <row r="210" ht="15.75" customHeight="1">
      <c r="A210" s="179"/>
      <c r="B210" s="179"/>
      <c r="C210" s="179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</row>
    <row r="211" ht="15.75" customHeight="1">
      <c r="A211" s="179"/>
      <c r="B211" s="179"/>
      <c r="C211" s="179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</row>
    <row r="212" ht="15.75" customHeight="1">
      <c r="A212" s="179"/>
      <c r="B212" s="179"/>
      <c r="C212" s="179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</row>
    <row r="213" ht="15.75" customHeight="1">
      <c r="A213" s="179"/>
      <c r="B213" s="179"/>
      <c r="C213" s="179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</row>
    <row r="214" ht="15.75" customHeight="1">
      <c r="A214" s="179"/>
      <c r="B214" s="179"/>
      <c r="C214" s="179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</row>
    <row r="215" ht="15.75" customHeight="1">
      <c r="A215" s="179"/>
      <c r="B215" s="179"/>
      <c r="C215" s="179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</row>
    <row r="216" ht="15.75" customHeight="1">
      <c r="A216" s="179"/>
      <c r="B216" s="179"/>
      <c r="C216" s="179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</row>
    <row r="217" ht="15.75" customHeight="1">
      <c r="A217" s="179"/>
      <c r="B217" s="179"/>
      <c r="C217" s="179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</row>
    <row r="218" ht="15.75" customHeight="1">
      <c r="A218" s="179"/>
      <c r="B218" s="179"/>
      <c r="C218" s="179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</row>
    <row r="219" ht="15.75" customHeight="1">
      <c r="A219" s="179"/>
      <c r="B219" s="179"/>
      <c r="C219" s="179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</row>
    <row r="220" ht="15.75" customHeight="1">
      <c r="A220" s="179"/>
      <c r="B220" s="179"/>
      <c r="C220" s="179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</row>
    <row r="221" ht="15.75" customHeight="1">
      <c r="A221" s="179"/>
      <c r="B221" s="179"/>
      <c r="C221" s="179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</row>
    <row r="222" ht="15.75" customHeight="1">
      <c r="A222" s="179"/>
      <c r="B222" s="179"/>
      <c r="C222" s="179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</row>
    <row r="223" ht="15.75" customHeight="1">
      <c r="A223" s="179"/>
      <c r="B223" s="179"/>
      <c r="C223" s="179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</row>
    <row r="224" ht="15.75" customHeight="1">
      <c r="A224" s="179"/>
      <c r="B224" s="179"/>
      <c r="C224" s="179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</row>
    <row r="225" ht="15.75" customHeight="1">
      <c r="A225" s="179"/>
      <c r="B225" s="179"/>
      <c r="C225" s="179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</row>
    <row r="226" ht="15.75" customHeight="1">
      <c r="A226" s="179"/>
      <c r="B226" s="179"/>
      <c r="C226" s="179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</row>
    <row r="227" ht="15.75" customHeight="1">
      <c r="A227" s="179"/>
      <c r="B227" s="179"/>
      <c r="C227" s="179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</row>
    <row r="228" ht="15.75" customHeight="1">
      <c r="A228" s="179"/>
      <c r="B228" s="179"/>
      <c r="C228" s="179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</row>
    <row r="229" ht="15.75" customHeight="1">
      <c r="A229" s="179"/>
      <c r="B229" s="179"/>
      <c r="C229" s="179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</row>
    <row r="230" ht="15.75" customHeight="1">
      <c r="A230" s="179"/>
      <c r="B230" s="179"/>
      <c r="C230" s="179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</row>
    <row r="231" ht="15.75" customHeight="1">
      <c r="A231" s="179"/>
      <c r="B231" s="179"/>
      <c r="C231" s="179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</row>
    <row r="232" ht="15.75" customHeight="1">
      <c r="A232" s="179"/>
      <c r="B232" s="179"/>
      <c r="C232" s="179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</row>
    <row r="233" ht="15.75" customHeight="1">
      <c r="A233" s="179"/>
      <c r="B233" s="179"/>
      <c r="C233" s="179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</row>
    <row r="234" ht="15.75" customHeight="1">
      <c r="A234" s="179"/>
      <c r="B234" s="179"/>
      <c r="C234" s="179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</row>
    <row r="235" ht="15.75" customHeight="1">
      <c r="A235" s="179"/>
      <c r="B235" s="179"/>
      <c r="C235" s="179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</row>
    <row r="236" ht="15.75" customHeight="1">
      <c r="A236" s="179"/>
      <c r="B236" s="179"/>
      <c r="C236" s="179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</row>
    <row r="237" ht="15.75" customHeight="1">
      <c r="A237" s="179"/>
      <c r="B237" s="179"/>
      <c r="C237" s="179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</row>
    <row r="238" ht="15.75" customHeight="1">
      <c r="A238" s="179"/>
      <c r="B238" s="179"/>
      <c r="C238" s="179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 ht="15.75" customHeight="1">
      <c r="A239" s="179"/>
      <c r="B239" s="179"/>
      <c r="C239" s="179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</row>
    <row r="240" ht="15.75" customHeight="1">
      <c r="A240" s="179"/>
      <c r="B240" s="179"/>
      <c r="C240" s="179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</row>
    <row r="241" ht="15.75" customHeight="1">
      <c r="A241" s="179"/>
      <c r="B241" s="179"/>
      <c r="C241" s="179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</row>
    <row r="242" ht="15.75" customHeight="1">
      <c r="A242" s="179"/>
      <c r="B242" s="179"/>
      <c r="C242" s="179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</row>
    <row r="243" ht="15.75" customHeight="1">
      <c r="A243" s="179"/>
      <c r="B243" s="179"/>
      <c r="C243" s="179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</row>
    <row r="244" ht="15.75" customHeight="1">
      <c r="A244" s="179"/>
      <c r="B244" s="179"/>
      <c r="C244" s="179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</row>
    <row r="245" ht="15.75" customHeight="1">
      <c r="A245" s="179"/>
      <c r="B245" s="179"/>
      <c r="C245" s="179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</row>
    <row r="246" ht="15.75" customHeight="1">
      <c r="A246" s="179"/>
      <c r="B246" s="179"/>
      <c r="C246" s="179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</row>
    <row r="247" ht="15.75" customHeight="1">
      <c r="A247" s="179"/>
      <c r="B247" s="179"/>
      <c r="C247" s="179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</row>
    <row r="248" ht="15.75" customHeight="1">
      <c r="A248" s="179"/>
      <c r="B248" s="179"/>
      <c r="C248" s="179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</row>
    <row r="249" ht="15.75" customHeight="1">
      <c r="A249" s="179"/>
      <c r="B249" s="179"/>
      <c r="C249" s="179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</row>
    <row r="250" ht="15.75" customHeight="1">
      <c r="A250" s="179"/>
      <c r="B250" s="179"/>
      <c r="C250" s="179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</row>
    <row r="251" ht="15.75" customHeight="1">
      <c r="A251" s="179"/>
      <c r="B251" s="179"/>
      <c r="C251" s="179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</row>
    <row r="252" ht="15.75" customHeight="1">
      <c r="A252" s="179"/>
      <c r="B252" s="179"/>
      <c r="C252" s="179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</row>
    <row r="253" ht="15.75" customHeight="1">
      <c r="A253" s="179"/>
      <c r="B253" s="179"/>
      <c r="C253" s="179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</row>
    <row r="254" ht="15.75" customHeight="1">
      <c r="A254" s="179"/>
      <c r="B254" s="179"/>
      <c r="C254" s="179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</row>
    <row r="255" ht="15.75" customHeight="1">
      <c r="A255" s="179"/>
      <c r="B255" s="179"/>
      <c r="C255" s="179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</row>
    <row r="256" ht="15.75" customHeight="1">
      <c r="A256" s="179"/>
      <c r="B256" s="179"/>
      <c r="C256" s="179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</row>
    <row r="257" ht="15.75" customHeight="1">
      <c r="A257" s="179"/>
      <c r="B257" s="179"/>
      <c r="C257" s="179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</row>
    <row r="258" ht="15.75" customHeight="1">
      <c r="A258" s="179"/>
      <c r="B258" s="179"/>
      <c r="C258" s="179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</row>
    <row r="259" ht="15.75" customHeight="1">
      <c r="A259" s="179"/>
      <c r="B259" s="179"/>
      <c r="C259" s="179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</row>
    <row r="260" ht="15.75" customHeight="1">
      <c r="A260" s="179"/>
      <c r="B260" s="179"/>
      <c r="C260" s="179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</row>
    <row r="261" ht="15.75" customHeight="1">
      <c r="A261" s="179"/>
      <c r="B261" s="179"/>
      <c r="C261" s="179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</row>
    <row r="262" ht="15.75" customHeight="1">
      <c r="A262" s="179"/>
      <c r="B262" s="179"/>
      <c r="C262" s="179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</row>
    <row r="263" ht="15.75" customHeight="1">
      <c r="A263" s="179"/>
      <c r="B263" s="179"/>
      <c r="C263" s="179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</row>
    <row r="264" ht="15.75" customHeight="1">
      <c r="A264" s="179"/>
      <c r="B264" s="179"/>
      <c r="C264" s="179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</row>
    <row r="265" ht="15.75" customHeight="1">
      <c r="A265" s="179"/>
      <c r="B265" s="179"/>
      <c r="C265" s="179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</row>
    <row r="266" ht="15.75" customHeight="1">
      <c r="A266" s="179"/>
      <c r="B266" s="179"/>
      <c r="C266" s="179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</row>
    <row r="267" ht="15.75" customHeight="1">
      <c r="A267" s="179"/>
      <c r="B267" s="179"/>
      <c r="C267" s="179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</row>
    <row r="268" ht="15.75" customHeight="1">
      <c r="A268" s="179"/>
      <c r="B268" s="179"/>
      <c r="C268" s="179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</row>
    <row r="269" ht="15.75" customHeight="1">
      <c r="A269" s="179"/>
      <c r="B269" s="179"/>
      <c r="C269" s="179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</row>
    <row r="270" ht="15.75" customHeight="1">
      <c r="A270" s="179"/>
      <c r="B270" s="179"/>
      <c r="C270" s="179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</row>
    <row r="271" ht="15.75" customHeight="1">
      <c r="A271" s="179"/>
      <c r="B271" s="179"/>
      <c r="C271" s="179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</row>
    <row r="272" ht="15.75" customHeight="1">
      <c r="A272" s="179"/>
      <c r="B272" s="179"/>
      <c r="C272" s="179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</row>
    <row r="273" ht="15.75" customHeight="1">
      <c r="A273" s="179"/>
      <c r="B273" s="179"/>
      <c r="C273" s="179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</row>
    <row r="274" ht="15.75" customHeight="1">
      <c r="A274" s="179"/>
      <c r="B274" s="179"/>
      <c r="C274" s="179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</row>
    <row r="275" ht="15.75" customHeight="1">
      <c r="A275" s="179"/>
      <c r="B275" s="179"/>
      <c r="C275" s="179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</row>
    <row r="276" ht="15.75" customHeight="1">
      <c r="A276" s="179"/>
      <c r="B276" s="179"/>
      <c r="C276" s="179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</row>
    <row r="277" ht="15.75" customHeight="1">
      <c r="A277" s="179"/>
      <c r="B277" s="179"/>
      <c r="C277" s="179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</row>
    <row r="278" ht="15.75" customHeight="1">
      <c r="A278" s="179"/>
      <c r="B278" s="179"/>
      <c r="C278" s="179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</row>
    <row r="279" ht="15.75" customHeight="1">
      <c r="A279" s="179"/>
      <c r="B279" s="179"/>
      <c r="C279" s="179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</row>
    <row r="280" ht="15.75" customHeight="1">
      <c r="A280" s="179"/>
      <c r="B280" s="179"/>
      <c r="C280" s="179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</row>
    <row r="281" ht="15.75" customHeight="1">
      <c r="A281" s="179"/>
      <c r="B281" s="179"/>
      <c r="C281" s="179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</row>
    <row r="282" ht="15.75" customHeight="1">
      <c r="A282" s="179"/>
      <c r="B282" s="179"/>
      <c r="C282" s="179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</row>
    <row r="283" ht="15.75" customHeight="1">
      <c r="A283" s="179"/>
      <c r="B283" s="179"/>
      <c r="C283" s="179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</row>
    <row r="284" ht="15.75" customHeight="1">
      <c r="A284" s="179"/>
      <c r="B284" s="179"/>
      <c r="C284" s="179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</row>
    <row r="285" ht="15.75" customHeight="1">
      <c r="A285" s="179"/>
      <c r="B285" s="179"/>
      <c r="C285" s="179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ht="15.75" customHeight="1">
      <c r="A286" s="179"/>
      <c r="B286" s="179"/>
      <c r="C286" s="179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</row>
    <row r="287" ht="15.75" customHeight="1">
      <c r="A287" s="179"/>
      <c r="B287" s="179"/>
      <c r="C287" s="179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</row>
    <row r="288" ht="15.75" customHeight="1">
      <c r="A288" s="179"/>
      <c r="B288" s="179"/>
      <c r="C288" s="179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</row>
    <row r="289" ht="15.75" customHeight="1">
      <c r="A289" s="179"/>
      <c r="B289" s="179"/>
      <c r="C289" s="179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</row>
    <row r="290" ht="15.75" customHeight="1">
      <c r="A290" s="179"/>
      <c r="B290" s="179"/>
      <c r="C290" s="179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</row>
    <row r="291" ht="15.75" customHeight="1">
      <c r="A291" s="179"/>
      <c r="B291" s="179"/>
      <c r="C291" s="179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</row>
    <row r="292" ht="15.75" customHeight="1">
      <c r="A292" s="179"/>
      <c r="B292" s="179"/>
      <c r="C292" s="179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</row>
    <row r="293" ht="15.75" customHeight="1">
      <c r="A293" s="179"/>
      <c r="B293" s="179"/>
      <c r="C293" s="179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</row>
    <row r="294" ht="15.75" customHeight="1">
      <c r="A294" s="179"/>
      <c r="B294" s="179"/>
      <c r="C294" s="179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</row>
    <row r="295" ht="15.75" customHeight="1">
      <c r="A295" s="179"/>
      <c r="B295" s="179"/>
      <c r="C295" s="179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</row>
    <row r="296" ht="15.75" customHeight="1">
      <c r="A296" s="179"/>
      <c r="B296" s="179"/>
      <c r="C296" s="179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</row>
    <row r="297" ht="15.75" customHeight="1">
      <c r="A297" s="179"/>
      <c r="B297" s="179"/>
      <c r="C297" s="179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</row>
    <row r="298" ht="15.75" customHeight="1">
      <c r="A298" s="179"/>
      <c r="B298" s="179"/>
      <c r="C298" s="179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</row>
    <row r="299" ht="15.75" customHeight="1">
      <c r="A299" s="179"/>
      <c r="B299" s="179"/>
      <c r="C299" s="179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</row>
    <row r="300" ht="15.75" customHeight="1">
      <c r="A300" s="179"/>
      <c r="B300" s="179"/>
      <c r="C300" s="179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</row>
    <row r="301" ht="15.75" customHeight="1">
      <c r="A301" s="179"/>
      <c r="B301" s="179"/>
      <c r="C301" s="179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</row>
    <row r="302" ht="15.75" customHeight="1">
      <c r="A302" s="179"/>
      <c r="B302" s="179"/>
      <c r="C302" s="179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</row>
    <row r="303" ht="15.75" customHeight="1">
      <c r="A303" s="179"/>
      <c r="B303" s="179"/>
      <c r="C303" s="179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</row>
    <row r="304" ht="15.75" customHeight="1">
      <c r="A304" s="179"/>
      <c r="B304" s="179"/>
      <c r="C304" s="179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</row>
    <row r="305" ht="15.75" customHeight="1">
      <c r="A305" s="179"/>
      <c r="B305" s="179"/>
      <c r="C305" s="179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</row>
    <row r="306" ht="15.75" customHeight="1">
      <c r="A306" s="179"/>
      <c r="B306" s="179"/>
      <c r="C306" s="179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</row>
    <row r="307" ht="15.75" customHeight="1">
      <c r="A307" s="179"/>
      <c r="B307" s="179"/>
      <c r="C307" s="179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</row>
    <row r="308" ht="15.75" customHeight="1">
      <c r="A308" s="179"/>
      <c r="B308" s="179"/>
      <c r="C308" s="179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</row>
    <row r="309" ht="15.75" customHeight="1">
      <c r="A309" s="179"/>
      <c r="B309" s="179"/>
      <c r="C309" s="179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</row>
    <row r="310" ht="15.75" customHeight="1">
      <c r="A310" s="179"/>
      <c r="B310" s="179"/>
      <c r="C310" s="179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</row>
    <row r="311" ht="15.75" customHeight="1">
      <c r="A311" s="179"/>
      <c r="B311" s="179"/>
      <c r="C311" s="179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</row>
    <row r="312" ht="15.75" customHeight="1">
      <c r="A312" s="179"/>
      <c r="B312" s="179"/>
      <c r="C312" s="179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</row>
    <row r="313" ht="15.75" customHeight="1">
      <c r="A313" s="179"/>
      <c r="B313" s="179"/>
      <c r="C313" s="179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</row>
    <row r="314" ht="15.75" customHeight="1">
      <c r="A314" s="179"/>
      <c r="B314" s="179"/>
      <c r="C314" s="179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</row>
    <row r="315" ht="15.75" customHeight="1">
      <c r="A315" s="179"/>
      <c r="B315" s="179"/>
      <c r="C315" s="179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</row>
    <row r="316" ht="15.75" customHeight="1">
      <c r="A316" s="179"/>
      <c r="B316" s="179"/>
      <c r="C316" s="179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</row>
    <row r="317" ht="15.75" customHeight="1">
      <c r="A317" s="179"/>
      <c r="B317" s="179"/>
      <c r="C317" s="179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</row>
    <row r="318" ht="15.75" customHeight="1">
      <c r="A318" s="179"/>
      <c r="B318" s="179"/>
      <c r="C318" s="179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</row>
    <row r="319" ht="15.75" customHeight="1">
      <c r="A319" s="179"/>
      <c r="B319" s="179"/>
      <c r="C319" s="179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</row>
    <row r="320" ht="15.75" customHeight="1">
      <c r="A320" s="179"/>
      <c r="B320" s="179"/>
      <c r="C320" s="179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</row>
    <row r="321" ht="15.75" customHeight="1">
      <c r="A321" s="179"/>
      <c r="B321" s="179"/>
      <c r="C321" s="179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</row>
    <row r="322" ht="15.75" customHeight="1">
      <c r="A322" s="179"/>
      <c r="B322" s="179"/>
      <c r="C322" s="179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</row>
    <row r="323" ht="15.75" customHeight="1">
      <c r="A323" s="179"/>
      <c r="B323" s="179"/>
      <c r="C323" s="179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</row>
    <row r="324" ht="15.75" customHeight="1">
      <c r="A324" s="179"/>
      <c r="B324" s="179"/>
      <c r="C324" s="179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</row>
    <row r="325" ht="15.75" customHeight="1">
      <c r="A325" s="179"/>
      <c r="B325" s="179"/>
      <c r="C325" s="179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</row>
    <row r="326" ht="15.75" customHeight="1">
      <c r="A326" s="179"/>
      <c r="B326" s="179"/>
      <c r="C326" s="179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</row>
    <row r="327" ht="15.75" customHeight="1">
      <c r="A327" s="179"/>
      <c r="B327" s="179"/>
      <c r="C327" s="179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</row>
    <row r="328" ht="15.75" customHeight="1">
      <c r="A328" s="179"/>
      <c r="B328" s="179"/>
      <c r="C328" s="179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</row>
    <row r="329" ht="15.75" customHeight="1">
      <c r="A329" s="179"/>
      <c r="B329" s="179"/>
      <c r="C329" s="179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</row>
    <row r="330" ht="15.75" customHeight="1">
      <c r="A330" s="179"/>
      <c r="B330" s="179"/>
      <c r="C330" s="179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</row>
    <row r="331" ht="15.75" customHeight="1">
      <c r="A331" s="179"/>
      <c r="B331" s="179"/>
      <c r="C331" s="179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</row>
    <row r="332" ht="15.75" customHeight="1">
      <c r="A332" s="179"/>
      <c r="B332" s="179"/>
      <c r="C332" s="179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</row>
    <row r="333" ht="15.75" customHeight="1">
      <c r="A333" s="179"/>
      <c r="B333" s="179"/>
      <c r="C333" s="179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</row>
    <row r="334" ht="15.75" customHeight="1">
      <c r="A334" s="179"/>
      <c r="B334" s="179"/>
      <c r="C334" s="179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</row>
    <row r="335" ht="15.75" customHeight="1">
      <c r="A335" s="179"/>
      <c r="B335" s="179"/>
      <c r="C335" s="179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</row>
    <row r="336" ht="15.75" customHeight="1">
      <c r="A336" s="179"/>
      <c r="B336" s="179"/>
      <c r="C336" s="179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</row>
    <row r="337" ht="15.75" customHeight="1">
      <c r="A337" s="179"/>
      <c r="B337" s="179"/>
      <c r="C337" s="179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</row>
    <row r="338" ht="15.75" customHeight="1">
      <c r="A338" s="179"/>
      <c r="B338" s="179"/>
      <c r="C338" s="179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</row>
    <row r="339" ht="15.75" customHeight="1">
      <c r="A339" s="179"/>
      <c r="B339" s="179"/>
      <c r="C339" s="179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</row>
    <row r="340" ht="15.75" customHeight="1">
      <c r="A340" s="179"/>
      <c r="B340" s="179"/>
      <c r="C340" s="179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</row>
    <row r="341" ht="15.75" customHeight="1">
      <c r="A341" s="179"/>
      <c r="B341" s="179"/>
      <c r="C341" s="179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</row>
    <row r="342" ht="15.75" customHeight="1">
      <c r="A342" s="179"/>
      <c r="B342" s="179"/>
      <c r="C342" s="179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</row>
    <row r="343" ht="15.75" customHeight="1">
      <c r="A343" s="179"/>
      <c r="B343" s="179"/>
      <c r="C343" s="179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</row>
    <row r="344" ht="15.75" customHeight="1">
      <c r="A344" s="179"/>
      <c r="B344" s="179"/>
      <c r="C344" s="179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</row>
    <row r="345" ht="15.75" customHeight="1">
      <c r="A345" s="179"/>
      <c r="B345" s="179"/>
      <c r="C345" s="179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</row>
    <row r="346" ht="15.75" customHeight="1">
      <c r="A346" s="179"/>
      <c r="B346" s="179"/>
      <c r="C346" s="179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</row>
    <row r="347" ht="15.75" customHeight="1">
      <c r="A347" s="179"/>
      <c r="B347" s="179"/>
      <c r="C347" s="179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</row>
    <row r="348" ht="15.75" customHeight="1">
      <c r="A348" s="179"/>
      <c r="B348" s="179"/>
      <c r="C348" s="179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</row>
    <row r="349" ht="15.75" customHeight="1">
      <c r="A349" s="179"/>
      <c r="B349" s="179"/>
      <c r="C349" s="179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</row>
    <row r="350" ht="15.75" customHeight="1">
      <c r="A350" s="179"/>
      <c r="B350" s="179"/>
      <c r="C350" s="179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</row>
    <row r="351" ht="15.75" customHeight="1">
      <c r="A351" s="179"/>
      <c r="B351" s="179"/>
      <c r="C351" s="179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</row>
    <row r="352" ht="15.75" customHeight="1">
      <c r="A352" s="179"/>
      <c r="B352" s="179"/>
      <c r="C352" s="179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</row>
    <row r="353" ht="15.75" customHeight="1">
      <c r="A353" s="179"/>
      <c r="B353" s="179"/>
      <c r="C353" s="179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</row>
    <row r="354" ht="15.75" customHeight="1">
      <c r="A354" s="179"/>
      <c r="B354" s="179"/>
      <c r="C354" s="179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</row>
    <row r="355" ht="15.75" customHeight="1">
      <c r="A355" s="179"/>
      <c r="B355" s="179"/>
      <c r="C355" s="179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</row>
    <row r="356" ht="15.75" customHeight="1">
      <c r="A356" s="179"/>
      <c r="B356" s="179"/>
      <c r="C356" s="179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</row>
    <row r="357" ht="15.75" customHeight="1">
      <c r="A357" s="179"/>
      <c r="B357" s="179"/>
      <c r="C357" s="179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</row>
    <row r="358" ht="15.75" customHeight="1">
      <c r="A358" s="179"/>
      <c r="B358" s="179"/>
      <c r="C358" s="179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</row>
    <row r="359" ht="15.75" customHeight="1">
      <c r="A359" s="179"/>
      <c r="B359" s="179"/>
      <c r="C359" s="179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</row>
    <row r="360" ht="15.75" customHeight="1">
      <c r="A360" s="179"/>
      <c r="B360" s="179"/>
      <c r="C360" s="179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</row>
    <row r="361" ht="15.75" customHeight="1">
      <c r="A361" s="179"/>
      <c r="B361" s="179"/>
      <c r="C361" s="179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</row>
    <row r="362" ht="15.75" customHeight="1">
      <c r="A362" s="179"/>
      <c r="B362" s="179"/>
      <c r="C362" s="179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</row>
    <row r="363" ht="15.75" customHeight="1">
      <c r="A363" s="179"/>
      <c r="B363" s="179"/>
      <c r="C363" s="179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</row>
    <row r="364" ht="15.75" customHeight="1">
      <c r="A364" s="179"/>
      <c r="B364" s="179"/>
      <c r="C364" s="179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</row>
    <row r="365" ht="15.75" customHeight="1">
      <c r="A365" s="179"/>
      <c r="B365" s="179"/>
      <c r="C365" s="179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</row>
    <row r="366" ht="15.75" customHeight="1">
      <c r="A366" s="179"/>
      <c r="B366" s="179"/>
      <c r="C366" s="179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</row>
    <row r="367" ht="15.75" customHeight="1">
      <c r="A367" s="179"/>
      <c r="B367" s="179"/>
      <c r="C367" s="179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</row>
    <row r="368" ht="15.75" customHeight="1">
      <c r="A368" s="179"/>
      <c r="B368" s="179"/>
      <c r="C368" s="179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</row>
    <row r="369" ht="15.75" customHeight="1">
      <c r="A369" s="179"/>
      <c r="B369" s="179"/>
      <c r="C369" s="179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</row>
    <row r="370" ht="15.75" customHeight="1">
      <c r="A370" s="179"/>
      <c r="B370" s="179"/>
      <c r="C370" s="179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</row>
    <row r="371" ht="15.75" customHeight="1">
      <c r="A371" s="179"/>
      <c r="B371" s="179"/>
      <c r="C371" s="179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</row>
    <row r="372" ht="15.75" customHeight="1">
      <c r="A372" s="179"/>
      <c r="B372" s="179"/>
      <c r="C372" s="179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</row>
    <row r="373" ht="15.75" customHeight="1">
      <c r="A373" s="179"/>
      <c r="B373" s="179"/>
      <c r="C373" s="179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</row>
    <row r="374" ht="15.75" customHeight="1">
      <c r="A374" s="179"/>
      <c r="B374" s="179"/>
      <c r="C374" s="179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</row>
    <row r="375" ht="15.75" customHeight="1">
      <c r="A375" s="179"/>
      <c r="B375" s="179"/>
      <c r="C375" s="179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</row>
    <row r="376" ht="15.75" customHeight="1">
      <c r="A376" s="179"/>
      <c r="B376" s="179"/>
      <c r="C376" s="179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</row>
    <row r="377" ht="15.75" customHeight="1">
      <c r="A377" s="179"/>
      <c r="B377" s="179"/>
      <c r="C377" s="179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</row>
    <row r="378" ht="15.75" customHeight="1">
      <c r="A378" s="179"/>
      <c r="B378" s="179"/>
      <c r="C378" s="179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</row>
    <row r="379" ht="15.75" customHeight="1">
      <c r="A379" s="179"/>
      <c r="B379" s="179"/>
      <c r="C379" s="179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</row>
    <row r="380" ht="15.75" customHeight="1">
      <c r="A380" s="179"/>
      <c r="B380" s="179"/>
      <c r="C380" s="179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</row>
    <row r="381" ht="15.75" customHeight="1">
      <c r="A381" s="179"/>
      <c r="B381" s="179"/>
      <c r="C381" s="179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</row>
    <row r="382" ht="15.75" customHeight="1">
      <c r="A382" s="179"/>
      <c r="B382" s="179"/>
      <c r="C382" s="179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</row>
    <row r="383" ht="15.75" customHeight="1">
      <c r="A383" s="179"/>
      <c r="B383" s="179"/>
      <c r="C383" s="179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</row>
    <row r="384" ht="15.75" customHeight="1">
      <c r="A384" s="179"/>
      <c r="B384" s="179"/>
      <c r="C384" s="179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</row>
    <row r="385" ht="15.75" customHeight="1">
      <c r="A385" s="179"/>
      <c r="B385" s="179"/>
      <c r="C385" s="179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</row>
    <row r="386" ht="15.75" customHeight="1">
      <c r="A386" s="179"/>
      <c r="B386" s="179"/>
      <c r="C386" s="179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</row>
    <row r="387" ht="15.75" customHeight="1">
      <c r="A387" s="179"/>
      <c r="B387" s="179"/>
      <c r="C387" s="179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</row>
    <row r="388" ht="15.75" customHeight="1">
      <c r="A388" s="179"/>
      <c r="B388" s="179"/>
      <c r="C388" s="179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</row>
    <row r="389" ht="15.75" customHeight="1">
      <c r="A389" s="179"/>
      <c r="B389" s="179"/>
      <c r="C389" s="179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</row>
    <row r="390" ht="15.75" customHeight="1">
      <c r="A390" s="179"/>
      <c r="B390" s="179"/>
      <c r="C390" s="179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</row>
    <row r="391" ht="15.75" customHeight="1">
      <c r="A391" s="179"/>
      <c r="B391" s="179"/>
      <c r="C391" s="179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</row>
    <row r="392" ht="15.75" customHeight="1">
      <c r="A392" s="179"/>
      <c r="B392" s="179"/>
      <c r="C392" s="179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</row>
    <row r="393" ht="15.75" customHeight="1">
      <c r="A393" s="179"/>
      <c r="B393" s="179"/>
      <c r="C393" s="179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</row>
    <row r="394" ht="15.75" customHeight="1">
      <c r="A394" s="179"/>
      <c r="B394" s="179"/>
      <c r="C394" s="179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</row>
    <row r="395" ht="15.75" customHeight="1">
      <c r="A395" s="179"/>
      <c r="B395" s="179"/>
      <c r="C395" s="179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</row>
    <row r="396" ht="15.75" customHeight="1">
      <c r="A396" s="179"/>
      <c r="B396" s="179"/>
      <c r="C396" s="179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</row>
    <row r="397" ht="15.75" customHeight="1">
      <c r="A397" s="179"/>
      <c r="B397" s="179"/>
      <c r="C397" s="179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</row>
    <row r="398" ht="15.75" customHeight="1">
      <c r="A398" s="179"/>
      <c r="B398" s="179"/>
      <c r="C398" s="179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</row>
    <row r="399" ht="15.75" customHeight="1">
      <c r="A399" s="179"/>
      <c r="B399" s="179"/>
      <c r="C399" s="179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</row>
    <row r="400" ht="15.75" customHeight="1">
      <c r="A400" s="179"/>
      <c r="B400" s="179"/>
      <c r="C400" s="179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</row>
    <row r="401" ht="15.75" customHeight="1">
      <c r="A401" s="179"/>
      <c r="B401" s="179"/>
      <c r="C401" s="179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</row>
    <row r="402" ht="15.75" customHeight="1">
      <c r="A402" s="179"/>
      <c r="B402" s="179"/>
      <c r="C402" s="179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</row>
    <row r="403" ht="15.75" customHeight="1">
      <c r="A403" s="179"/>
      <c r="B403" s="179"/>
      <c r="C403" s="179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</row>
    <row r="404" ht="15.75" customHeight="1">
      <c r="A404" s="179"/>
      <c r="B404" s="179"/>
      <c r="C404" s="179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</row>
    <row r="405" ht="15.75" customHeight="1">
      <c r="A405" s="179"/>
      <c r="B405" s="179"/>
      <c r="C405" s="179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</row>
    <row r="406" ht="15.75" customHeight="1">
      <c r="A406" s="179"/>
      <c r="B406" s="179"/>
      <c r="C406" s="179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</row>
    <row r="407" ht="15.75" customHeight="1">
      <c r="A407" s="179"/>
      <c r="B407" s="179"/>
      <c r="C407" s="179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</row>
    <row r="408" ht="15.75" customHeight="1">
      <c r="A408" s="179"/>
      <c r="B408" s="179"/>
      <c r="C408" s="179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</row>
    <row r="409" ht="15.75" customHeight="1">
      <c r="A409" s="179"/>
      <c r="B409" s="179"/>
      <c r="C409" s="179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</row>
    <row r="410" ht="15.75" customHeight="1">
      <c r="A410" s="179"/>
      <c r="B410" s="179"/>
      <c r="C410" s="179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</row>
    <row r="411" ht="15.75" customHeight="1">
      <c r="A411" s="179"/>
      <c r="B411" s="179"/>
      <c r="C411" s="179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</row>
    <row r="412" ht="15.75" customHeight="1">
      <c r="A412" s="179"/>
      <c r="B412" s="179"/>
      <c r="C412" s="179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</row>
    <row r="413" ht="15.75" customHeight="1">
      <c r="A413" s="179"/>
      <c r="B413" s="179"/>
      <c r="C413" s="179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</row>
    <row r="414" ht="15.75" customHeight="1">
      <c r="A414" s="179"/>
      <c r="B414" s="179"/>
      <c r="C414" s="179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</row>
    <row r="415" ht="15.75" customHeight="1">
      <c r="A415" s="179"/>
      <c r="B415" s="179"/>
      <c r="C415" s="179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</row>
    <row r="416" ht="15.75" customHeight="1">
      <c r="A416" s="179"/>
      <c r="B416" s="179"/>
      <c r="C416" s="179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</row>
    <row r="417" ht="15.75" customHeight="1">
      <c r="A417" s="179"/>
      <c r="B417" s="179"/>
      <c r="C417" s="179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</row>
    <row r="418" ht="15.75" customHeight="1">
      <c r="A418" s="179"/>
      <c r="B418" s="179"/>
      <c r="C418" s="179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</row>
    <row r="419" ht="15.75" customHeight="1">
      <c r="A419" s="179"/>
      <c r="B419" s="179"/>
      <c r="C419" s="179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</row>
    <row r="420" ht="15.75" customHeight="1">
      <c r="A420" s="179"/>
      <c r="B420" s="179"/>
      <c r="C420" s="179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</row>
    <row r="421" ht="15.75" customHeight="1">
      <c r="A421" s="179"/>
      <c r="B421" s="179"/>
      <c r="C421" s="179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</row>
    <row r="422" ht="15.75" customHeight="1">
      <c r="A422" s="179"/>
      <c r="B422" s="179"/>
      <c r="C422" s="179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</row>
    <row r="423" ht="15.75" customHeight="1">
      <c r="A423" s="179"/>
      <c r="B423" s="179"/>
      <c r="C423" s="179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</row>
    <row r="424" ht="15.75" customHeight="1">
      <c r="A424" s="179"/>
      <c r="B424" s="179"/>
      <c r="C424" s="179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</row>
    <row r="425" ht="15.75" customHeight="1">
      <c r="A425" s="179"/>
      <c r="B425" s="179"/>
      <c r="C425" s="179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</row>
    <row r="426" ht="15.75" customHeight="1">
      <c r="A426" s="179"/>
      <c r="B426" s="179"/>
      <c r="C426" s="179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</row>
    <row r="427" ht="15.75" customHeight="1">
      <c r="A427" s="179"/>
      <c r="B427" s="179"/>
      <c r="C427" s="179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</row>
    <row r="428" ht="15.75" customHeight="1">
      <c r="A428" s="179"/>
      <c r="B428" s="179"/>
      <c r="C428" s="179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</row>
    <row r="429" ht="15.75" customHeight="1">
      <c r="A429" s="179"/>
      <c r="B429" s="179"/>
      <c r="C429" s="179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</row>
    <row r="430" ht="15.75" customHeight="1">
      <c r="A430" s="179"/>
      <c r="B430" s="179"/>
      <c r="C430" s="179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</row>
    <row r="431" ht="15.75" customHeight="1">
      <c r="A431" s="179"/>
      <c r="B431" s="179"/>
      <c r="C431" s="179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</row>
    <row r="432" ht="15.75" customHeight="1">
      <c r="A432" s="179"/>
      <c r="B432" s="179"/>
      <c r="C432" s="179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</row>
    <row r="433" ht="15.75" customHeight="1">
      <c r="A433" s="179"/>
      <c r="B433" s="179"/>
      <c r="C433" s="179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</row>
    <row r="434" ht="15.75" customHeight="1">
      <c r="A434" s="179"/>
      <c r="B434" s="179"/>
      <c r="C434" s="179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</row>
    <row r="435" ht="15.75" customHeight="1">
      <c r="A435" s="179"/>
      <c r="B435" s="179"/>
      <c r="C435" s="179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</row>
    <row r="436" ht="15.75" customHeight="1">
      <c r="A436" s="179"/>
      <c r="B436" s="179"/>
      <c r="C436" s="179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</row>
    <row r="437" ht="15.75" customHeight="1">
      <c r="A437" s="179"/>
      <c r="B437" s="179"/>
      <c r="C437" s="179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</row>
    <row r="438" ht="15.75" customHeight="1">
      <c r="A438" s="179"/>
      <c r="B438" s="179"/>
      <c r="C438" s="179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</row>
    <row r="439" ht="15.75" customHeight="1">
      <c r="A439" s="179"/>
      <c r="B439" s="179"/>
      <c r="C439" s="179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</row>
    <row r="440" ht="15.75" customHeight="1">
      <c r="A440" s="179"/>
      <c r="B440" s="179"/>
      <c r="C440" s="179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</row>
    <row r="441" ht="15.75" customHeight="1">
      <c r="A441" s="179"/>
      <c r="B441" s="179"/>
      <c r="C441" s="179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</row>
    <row r="442" ht="15.75" customHeight="1">
      <c r="A442" s="179"/>
      <c r="B442" s="179"/>
      <c r="C442" s="179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</row>
    <row r="443" ht="15.75" customHeight="1">
      <c r="A443" s="179"/>
      <c r="B443" s="179"/>
      <c r="C443" s="179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</row>
    <row r="444" ht="15.75" customHeight="1">
      <c r="A444" s="179"/>
      <c r="B444" s="179"/>
      <c r="C444" s="179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</row>
    <row r="445" ht="15.75" customHeight="1">
      <c r="A445" s="179"/>
      <c r="B445" s="179"/>
      <c r="C445" s="179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</row>
    <row r="446" ht="15.75" customHeight="1">
      <c r="A446" s="179"/>
      <c r="B446" s="179"/>
      <c r="C446" s="179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</row>
    <row r="447" ht="15.75" customHeight="1">
      <c r="A447" s="179"/>
      <c r="B447" s="179"/>
      <c r="C447" s="179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</row>
    <row r="448" ht="15.75" customHeight="1">
      <c r="A448" s="179"/>
      <c r="B448" s="179"/>
      <c r="C448" s="179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</row>
    <row r="449" ht="15.75" customHeight="1">
      <c r="A449" s="179"/>
      <c r="B449" s="179"/>
      <c r="C449" s="179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</row>
    <row r="450" ht="15.75" customHeight="1">
      <c r="A450" s="179"/>
      <c r="B450" s="179"/>
      <c r="C450" s="179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</row>
    <row r="451" ht="15.75" customHeight="1">
      <c r="A451" s="179"/>
      <c r="B451" s="179"/>
      <c r="C451" s="179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</row>
    <row r="452" ht="15.75" customHeight="1">
      <c r="A452" s="179"/>
      <c r="B452" s="179"/>
      <c r="C452" s="179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</row>
    <row r="453" ht="15.75" customHeight="1">
      <c r="A453" s="179"/>
      <c r="B453" s="179"/>
      <c r="C453" s="179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</row>
    <row r="454" ht="15.75" customHeight="1">
      <c r="A454" s="179"/>
      <c r="B454" s="179"/>
      <c r="C454" s="179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</row>
    <row r="455" ht="15.75" customHeight="1">
      <c r="A455" s="179"/>
      <c r="B455" s="179"/>
      <c r="C455" s="179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</row>
    <row r="456" ht="15.75" customHeight="1">
      <c r="A456" s="179"/>
      <c r="B456" s="179"/>
      <c r="C456" s="179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</row>
    <row r="457" ht="15.75" customHeight="1">
      <c r="A457" s="179"/>
      <c r="B457" s="179"/>
      <c r="C457" s="179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</row>
    <row r="458" ht="15.75" customHeight="1">
      <c r="A458" s="179"/>
      <c r="B458" s="179"/>
      <c r="C458" s="179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</row>
    <row r="459" ht="15.75" customHeight="1">
      <c r="A459" s="179"/>
      <c r="B459" s="179"/>
      <c r="C459" s="179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</row>
    <row r="460" ht="15.75" customHeight="1">
      <c r="A460" s="179"/>
      <c r="B460" s="179"/>
      <c r="C460" s="179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</row>
    <row r="461" ht="15.75" customHeight="1">
      <c r="A461" s="179"/>
      <c r="B461" s="179"/>
      <c r="C461" s="179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</row>
    <row r="462" ht="15.75" customHeight="1">
      <c r="A462" s="179"/>
      <c r="B462" s="179"/>
      <c r="C462" s="179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</row>
    <row r="463" ht="15.75" customHeight="1">
      <c r="A463" s="179"/>
      <c r="B463" s="179"/>
      <c r="C463" s="179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</row>
    <row r="464" ht="15.75" customHeight="1">
      <c r="A464" s="179"/>
      <c r="B464" s="179"/>
      <c r="C464" s="179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</row>
    <row r="465" ht="15.75" customHeight="1">
      <c r="A465" s="179"/>
      <c r="B465" s="179"/>
      <c r="C465" s="179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</row>
    <row r="466" ht="15.75" customHeight="1">
      <c r="A466" s="179"/>
      <c r="B466" s="179"/>
      <c r="C466" s="179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</row>
    <row r="467" ht="15.75" customHeight="1">
      <c r="A467" s="179"/>
      <c r="B467" s="179"/>
      <c r="C467" s="179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</row>
    <row r="468" ht="15.75" customHeight="1">
      <c r="A468" s="179"/>
      <c r="B468" s="179"/>
      <c r="C468" s="179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</row>
    <row r="469" ht="15.75" customHeight="1">
      <c r="A469" s="179"/>
      <c r="B469" s="179"/>
      <c r="C469" s="179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</row>
    <row r="470" ht="15.75" customHeight="1">
      <c r="A470" s="179"/>
      <c r="B470" s="179"/>
      <c r="C470" s="179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</row>
    <row r="471" ht="15.75" customHeight="1">
      <c r="A471" s="179"/>
      <c r="B471" s="179"/>
      <c r="C471" s="179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</row>
    <row r="472" ht="15.75" customHeight="1">
      <c r="A472" s="179"/>
      <c r="B472" s="179"/>
      <c r="C472" s="179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</row>
    <row r="473" ht="15.75" customHeight="1">
      <c r="A473" s="179"/>
      <c r="B473" s="179"/>
      <c r="C473" s="179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</row>
    <row r="474" ht="15.75" customHeight="1">
      <c r="A474" s="179"/>
      <c r="B474" s="179"/>
      <c r="C474" s="179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</row>
    <row r="475" ht="15.75" customHeight="1">
      <c r="A475" s="179"/>
      <c r="B475" s="179"/>
      <c r="C475" s="179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</row>
    <row r="476" ht="15.75" customHeight="1">
      <c r="A476" s="179"/>
      <c r="B476" s="179"/>
      <c r="C476" s="179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</row>
    <row r="477" ht="15.75" customHeight="1">
      <c r="A477" s="179"/>
      <c r="B477" s="179"/>
      <c r="C477" s="179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</row>
    <row r="478" ht="15.75" customHeight="1">
      <c r="A478" s="179"/>
      <c r="B478" s="179"/>
      <c r="C478" s="179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</row>
    <row r="479" ht="15.75" customHeight="1">
      <c r="A479" s="179"/>
      <c r="B479" s="179"/>
      <c r="C479" s="179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</row>
    <row r="480" ht="15.75" customHeight="1">
      <c r="A480" s="179"/>
      <c r="B480" s="179"/>
      <c r="C480" s="179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</row>
    <row r="481" ht="15.75" customHeight="1">
      <c r="A481" s="179"/>
      <c r="B481" s="179"/>
      <c r="C481" s="179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</row>
    <row r="482" ht="15.75" customHeight="1">
      <c r="A482" s="179"/>
      <c r="B482" s="179"/>
      <c r="C482" s="179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</row>
    <row r="483" ht="15.75" customHeight="1">
      <c r="A483" s="179"/>
      <c r="B483" s="179"/>
      <c r="C483" s="179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</row>
    <row r="484" ht="15.75" customHeight="1">
      <c r="A484" s="179"/>
      <c r="B484" s="179"/>
      <c r="C484" s="179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</row>
    <row r="485" ht="15.75" customHeight="1">
      <c r="A485" s="179"/>
      <c r="B485" s="179"/>
      <c r="C485" s="179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</row>
    <row r="486" ht="15.75" customHeight="1">
      <c r="A486" s="179"/>
      <c r="B486" s="179"/>
      <c r="C486" s="179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</row>
    <row r="487" ht="15.75" customHeight="1">
      <c r="A487" s="179"/>
      <c r="B487" s="179"/>
      <c r="C487" s="179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</row>
    <row r="488" ht="15.75" customHeight="1">
      <c r="A488" s="179"/>
      <c r="B488" s="179"/>
      <c r="C488" s="179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</row>
    <row r="489" ht="15.75" customHeight="1">
      <c r="A489" s="179"/>
      <c r="B489" s="179"/>
      <c r="C489" s="179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</row>
    <row r="490" ht="15.75" customHeight="1">
      <c r="A490" s="179"/>
      <c r="B490" s="179"/>
      <c r="C490" s="179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</row>
    <row r="491" ht="15.75" customHeight="1">
      <c r="A491" s="179"/>
      <c r="B491" s="179"/>
      <c r="C491" s="179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</row>
    <row r="492" ht="15.75" customHeight="1">
      <c r="A492" s="179"/>
      <c r="B492" s="179"/>
      <c r="C492" s="179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</row>
    <row r="493" ht="15.75" customHeight="1">
      <c r="A493" s="179"/>
      <c r="B493" s="179"/>
      <c r="C493" s="179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</row>
    <row r="494" ht="15.75" customHeight="1">
      <c r="A494" s="179"/>
      <c r="B494" s="179"/>
      <c r="C494" s="179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</row>
    <row r="495" ht="15.75" customHeight="1">
      <c r="A495" s="179"/>
      <c r="B495" s="179"/>
      <c r="C495" s="179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</row>
    <row r="496" ht="15.75" customHeight="1">
      <c r="A496" s="179"/>
      <c r="B496" s="179"/>
      <c r="C496" s="179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</row>
    <row r="497" ht="15.75" customHeight="1">
      <c r="A497" s="179"/>
      <c r="B497" s="179"/>
      <c r="C497" s="179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</row>
    <row r="498" ht="15.75" customHeight="1">
      <c r="A498" s="179"/>
      <c r="B498" s="179"/>
      <c r="C498" s="179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</row>
    <row r="499" ht="15.75" customHeight="1">
      <c r="A499" s="179"/>
      <c r="B499" s="179"/>
      <c r="C499" s="179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</row>
    <row r="500" ht="15.75" customHeight="1">
      <c r="A500" s="179"/>
      <c r="B500" s="179"/>
      <c r="C500" s="179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</row>
    <row r="501" ht="15.75" customHeight="1">
      <c r="A501" s="179"/>
      <c r="B501" s="179"/>
      <c r="C501" s="179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</row>
    <row r="502" ht="15.75" customHeight="1">
      <c r="A502" s="179"/>
      <c r="B502" s="179"/>
      <c r="C502" s="179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</row>
    <row r="503" ht="15.75" customHeight="1">
      <c r="A503" s="179"/>
      <c r="B503" s="179"/>
      <c r="C503" s="179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</row>
    <row r="504" ht="15.75" customHeight="1">
      <c r="A504" s="179"/>
      <c r="B504" s="179"/>
      <c r="C504" s="179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</row>
    <row r="505" ht="15.75" customHeight="1">
      <c r="A505" s="179"/>
      <c r="B505" s="179"/>
      <c r="C505" s="179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</row>
    <row r="506" ht="15.75" customHeight="1">
      <c r="A506" s="179"/>
      <c r="B506" s="179"/>
      <c r="C506" s="179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</row>
    <row r="507" ht="15.75" customHeight="1">
      <c r="A507" s="179"/>
      <c r="B507" s="179"/>
      <c r="C507" s="179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</row>
    <row r="508" ht="15.75" customHeight="1">
      <c r="A508" s="179"/>
      <c r="B508" s="179"/>
      <c r="C508" s="179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</row>
    <row r="509" ht="15.75" customHeight="1">
      <c r="A509" s="179"/>
      <c r="B509" s="179"/>
      <c r="C509" s="179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</row>
    <row r="510" ht="15.75" customHeight="1">
      <c r="A510" s="179"/>
      <c r="B510" s="179"/>
      <c r="C510" s="179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</row>
    <row r="511" ht="15.75" customHeight="1">
      <c r="A511" s="179"/>
      <c r="B511" s="179"/>
      <c r="C511" s="179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</row>
    <row r="512" ht="15.75" customHeight="1">
      <c r="A512" s="179"/>
      <c r="B512" s="179"/>
      <c r="C512" s="179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</row>
    <row r="513" ht="15.75" customHeight="1">
      <c r="A513" s="179"/>
      <c r="B513" s="179"/>
      <c r="C513" s="179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</row>
    <row r="514" ht="15.75" customHeight="1">
      <c r="A514" s="179"/>
      <c r="B514" s="179"/>
      <c r="C514" s="179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</row>
    <row r="515" ht="15.75" customHeight="1">
      <c r="A515" s="179"/>
      <c r="B515" s="179"/>
      <c r="C515" s="179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</row>
    <row r="516" ht="15.75" customHeight="1">
      <c r="A516" s="179"/>
      <c r="B516" s="179"/>
      <c r="C516" s="179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</row>
    <row r="517" ht="15.75" customHeight="1">
      <c r="A517" s="179"/>
      <c r="B517" s="179"/>
      <c r="C517" s="179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</row>
    <row r="518" ht="15.75" customHeight="1">
      <c r="A518" s="179"/>
      <c r="B518" s="179"/>
      <c r="C518" s="179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</row>
    <row r="519" ht="15.75" customHeight="1">
      <c r="A519" s="179"/>
      <c r="B519" s="179"/>
      <c r="C519" s="179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</row>
    <row r="520" ht="15.75" customHeight="1">
      <c r="A520" s="179"/>
      <c r="B520" s="179"/>
      <c r="C520" s="179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</row>
    <row r="521" ht="15.75" customHeight="1">
      <c r="A521" s="179"/>
      <c r="B521" s="179"/>
      <c r="C521" s="179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</row>
    <row r="522" ht="15.75" customHeight="1">
      <c r="A522" s="179"/>
      <c r="B522" s="179"/>
      <c r="C522" s="179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</row>
    <row r="523" ht="15.75" customHeight="1">
      <c r="A523" s="179"/>
      <c r="B523" s="179"/>
      <c r="C523" s="179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</row>
    <row r="524" ht="15.75" customHeight="1">
      <c r="A524" s="179"/>
      <c r="B524" s="179"/>
      <c r="C524" s="179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</row>
    <row r="525" ht="15.75" customHeight="1">
      <c r="A525" s="179"/>
      <c r="B525" s="179"/>
      <c r="C525" s="179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</row>
    <row r="526" ht="15.75" customHeight="1">
      <c r="A526" s="179"/>
      <c r="B526" s="179"/>
      <c r="C526" s="179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</row>
    <row r="527" ht="15.75" customHeight="1">
      <c r="A527" s="179"/>
      <c r="B527" s="179"/>
      <c r="C527" s="179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</row>
    <row r="528" ht="15.75" customHeight="1">
      <c r="A528" s="179"/>
      <c r="B528" s="179"/>
      <c r="C528" s="179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</row>
    <row r="529" ht="15.75" customHeight="1">
      <c r="A529" s="179"/>
      <c r="B529" s="179"/>
      <c r="C529" s="179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</row>
    <row r="530" ht="15.75" customHeight="1">
      <c r="A530" s="179"/>
      <c r="B530" s="179"/>
      <c r="C530" s="179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</row>
    <row r="531" ht="15.75" customHeight="1">
      <c r="A531" s="179"/>
      <c r="B531" s="179"/>
      <c r="C531" s="179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</row>
    <row r="532" ht="15.75" customHeight="1">
      <c r="A532" s="179"/>
      <c r="B532" s="179"/>
      <c r="C532" s="179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</row>
    <row r="533" ht="15.75" customHeight="1">
      <c r="A533" s="179"/>
      <c r="B533" s="179"/>
      <c r="C533" s="179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</row>
    <row r="534" ht="15.75" customHeight="1">
      <c r="A534" s="179"/>
      <c r="B534" s="179"/>
      <c r="C534" s="179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</row>
    <row r="535" ht="15.75" customHeight="1">
      <c r="A535" s="179"/>
      <c r="B535" s="179"/>
      <c r="C535" s="179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</row>
    <row r="536" ht="15.75" customHeight="1">
      <c r="A536" s="179"/>
      <c r="B536" s="179"/>
      <c r="C536" s="179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</row>
    <row r="537" ht="15.75" customHeight="1">
      <c r="A537" s="179"/>
      <c r="B537" s="179"/>
      <c r="C537" s="179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</row>
    <row r="538" ht="15.75" customHeight="1">
      <c r="A538" s="179"/>
      <c r="B538" s="179"/>
      <c r="C538" s="179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</row>
    <row r="539" ht="15.75" customHeight="1">
      <c r="A539" s="179"/>
      <c r="B539" s="179"/>
      <c r="C539" s="179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</row>
    <row r="540" ht="15.75" customHeight="1">
      <c r="A540" s="179"/>
      <c r="B540" s="179"/>
      <c r="C540" s="179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</row>
    <row r="541" ht="15.75" customHeight="1">
      <c r="A541" s="179"/>
      <c r="B541" s="179"/>
      <c r="C541" s="179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</row>
    <row r="542" ht="15.75" customHeight="1">
      <c r="A542" s="179"/>
      <c r="B542" s="179"/>
      <c r="C542" s="179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</row>
    <row r="543" ht="15.75" customHeight="1">
      <c r="A543" s="179"/>
      <c r="B543" s="179"/>
      <c r="C543" s="179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</row>
    <row r="544" ht="15.75" customHeight="1">
      <c r="A544" s="179"/>
      <c r="B544" s="179"/>
      <c r="C544" s="179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</row>
    <row r="545" ht="15.75" customHeight="1">
      <c r="A545" s="179"/>
      <c r="B545" s="179"/>
      <c r="C545" s="179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</row>
    <row r="546" ht="15.75" customHeight="1">
      <c r="A546" s="179"/>
      <c r="B546" s="179"/>
      <c r="C546" s="179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</row>
    <row r="547" ht="15.75" customHeight="1">
      <c r="A547" s="179"/>
      <c r="B547" s="179"/>
      <c r="C547" s="179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</row>
    <row r="548" ht="15.75" customHeight="1">
      <c r="A548" s="179"/>
      <c r="B548" s="179"/>
      <c r="C548" s="179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</row>
    <row r="549" ht="15.75" customHeight="1">
      <c r="A549" s="179"/>
      <c r="B549" s="179"/>
      <c r="C549" s="179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</row>
    <row r="550" ht="15.75" customHeight="1">
      <c r="A550" s="179"/>
      <c r="B550" s="179"/>
      <c r="C550" s="179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</row>
    <row r="551" ht="15.75" customHeight="1">
      <c r="A551" s="179"/>
      <c r="B551" s="179"/>
      <c r="C551" s="179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</row>
    <row r="552" ht="15.75" customHeight="1">
      <c r="A552" s="179"/>
      <c r="B552" s="179"/>
      <c r="C552" s="179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</row>
    <row r="553" ht="15.75" customHeight="1">
      <c r="A553" s="179"/>
      <c r="B553" s="179"/>
      <c r="C553" s="179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</row>
    <row r="554" ht="15.75" customHeight="1">
      <c r="A554" s="179"/>
      <c r="B554" s="179"/>
      <c r="C554" s="179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</row>
    <row r="555" ht="15.75" customHeight="1">
      <c r="A555" s="179"/>
      <c r="B555" s="179"/>
      <c r="C555" s="179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</row>
    <row r="556" ht="15.75" customHeight="1">
      <c r="A556" s="179"/>
      <c r="B556" s="179"/>
      <c r="C556" s="179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</row>
    <row r="557" ht="15.75" customHeight="1">
      <c r="A557" s="179"/>
      <c r="B557" s="179"/>
      <c r="C557" s="179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</row>
    <row r="558" ht="15.75" customHeight="1">
      <c r="A558" s="179"/>
      <c r="B558" s="179"/>
      <c r="C558" s="179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</row>
    <row r="559" ht="15.75" customHeight="1">
      <c r="A559" s="179"/>
      <c r="B559" s="179"/>
      <c r="C559" s="179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</row>
    <row r="560" ht="15.75" customHeight="1">
      <c r="A560" s="179"/>
      <c r="B560" s="179"/>
      <c r="C560" s="179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</row>
    <row r="561" ht="15.75" customHeight="1">
      <c r="A561" s="179"/>
      <c r="B561" s="179"/>
      <c r="C561" s="179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</row>
    <row r="562" ht="15.75" customHeight="1">
      <c r="A562" s="179"/>
      <c r="B562" s="179"/>
      <c r="C562" s="179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</row>
    <row r="563" ht="15.75" customHeight="1">
      <c r="A563" s="179"/>
      <c r="B563" s="179"/>
      <c r="C563" s="179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</row>
    <row r="564" ht="15.75" customHeight="1">
      <c r="A564" s="179"/>
      <c r="B564" s="179"/>
      <c r="C564" s="179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</row>
    <row r="565" ht="15.75" customHeight="1">
      <c r="A565" s="179"/>
      <c r="B565" s="179"/>
      <c r="C565" s="179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</row>
    <row r="566" ht="15.75" customHeight="1">
      <c r="A566" s="179"/>
      <c r="B566" s="179"/>
      <c r="C566" s="179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</row>
    <row r="567" ht="15.75" customHeight="1">
      <c r="A567" s="179"/>
      <c r="B567" s="179"/>
      <c r="C567" s="179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</row>
    <row r="568" ht="15.75" customHeight="1">
      <c r="A568" s="179"/>
      <c r="B568" s="179"/>
      <c r="C568" s="179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</row>
    <row r="569" ht="15.75" customHeight="1">
      <c r="A569" s="179"/>
      <c r="B569" s="179"/>
      <c r="C569" s="179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</row>
    <row r="570" ht="15.75" customHeight="1">
      <c r="A570" s="179"/>
      <c r="B570" s="179"/>
      <c r="C570" s="179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</row>
    <row r="571" ht="15.75" customHeight="1">
      <c r="A571" s="179"/>
      <c r="B571" s="179"/>
      <c r="C571" s="179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</row>
    <row r="572" ht="15.75" customHeight="1">
      <c r="A572" s="179"/>
      <c r="B572" s="179"/>
      <c r="C572" s="179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</row>
    <row r="573" ht="15.75" customHeight="1">
      <c r="A573" s="179"/>
      <c r="B573" s="179"/>
      <c r="C573" s="179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</row>
    <row r="574" ht="15.75" customHeight="1">
      <c r="A574" s="179"/>
      <c r="B574" s="179"/>
      <c r="C574" s="179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</row>
    <row r="575" ht="15.75" customHeight="1">
      <c r="A575" s="179"/>
      <c r="B575" s="179"/>
      <c r="C575" s="179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</row>
    <row r="576" ht="15.75" customHeight="1">
      <c r="A576" s="179"/>
      <c r="B576" s="179"/>
      <c r="C576" s="179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</row>
    <row r="577" ht="15.75" customHeight="1">
      <c r="A577" s="179"/>
      <c r="B577" s="179"/>
      <c r="C577" s="179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</row>
    <row r="578" ht="15.75" customHeight="1">
      <c r="A578" s="179"/>
      <c r="B578" s="179"/>
      <c r="C578" s="179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</row>
    <row r="579" ht="15.75" customHeight="1">
      <c r="A579" s="179"/>
      <c r="B579" s="179"/>
      <c r="C579" s="179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</row>
    <row r="580" ht="15.75" customHeight="1">
      <c r="A580" s="179"/>
      <c r="B580" s="179"/>
      <c r="C580" s="179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</row>
    <row r="581" ht="15.75" customHeight="1">
      <c r="A581" s="179"/>
      <c r="B581" s="179"/>
      <c r="C581" s="179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</row>
    <row r="582" ht="15.75" customHeight="1">
      <c r="A582" s="179"/>
      <c r="B582" s="179"/>
      <c r="C582" s="179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</row>
    <row r="583" ht="15.75" customHeight="1">
      <c r="A583" s="179"/>
      <c r="B583" s="179"/>
      <c r="C583" s="179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</row>
    <row r="584" ht="15.75" customHeight="1">
      <c r="A584" s="179"/>
      <c r="B584" s="179"/>
      <c r="C584" s="179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</row>
    <row r="585" ht="15.75" customHeight="1">
      <c r="A585" s="179"/>
      <c r="B585" s="179"/>
      <c r="C585" s="179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</row>
    <row r="586" ht="15.75" customHeight="1">
      <c r="A586" s="179"/>
      <c r="B586" s="179"/>
      <c r="C586" s="179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</row>
    <row r="587" ht="15.75" customHeight="1">
      <c r="A587" s="179"/>
      <c r="B587" s="179"/>
      <c r="C587" s="179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</row>
    <row r="588" ht="15.75" customHeight="1">
      <c r="A588" s="179"/>
      <c r="B588" s="179"/>
      <c r="C588" s="179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</row>
    <row r="589" ht="15.75" customHeight="1">
      <c r="A589" s="179"/>
      <c r="B589" s="179"/>
      <c r="C589" s="179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</row>
    <row r="590" ht="15.75" customHeight="1">
      <c r="A590" s="179"/>
      <c r="B590" s="179"/>
      <c r="C590" s="179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</row>
    <row r="591" ht="15.75" customHeight="1">
      <c r="A591" s="179"/>
      <c r="B591" s="179"/>
      <c r="C591" s="179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</row>
    <row r="592" ht="15.75" customHeight="1">
      <c r="A592" s="179"/>
      <c r="B592" s="179"/>
      <c r="C592" s="179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</row>
    <row r="593" ht="15.75" customHeight="1">
      <c r="A593" s="179"/>
      <c r="B593" s="179"/>
      <c r="C593" s="179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</row>
    <row r="594" ht="15.75" customHeight="1">
      <c r="A594" s="179"/>
      <c r="B594" s="179"/>
      <c r="C594" s="179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</row>
    <row r="595" ht="15.75" customHeight="1">
      <c r="A595" s="179"/>
      <c r="B595" s="179"/>
      <c r="C595" s="179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</row>
    <row r="596" ht="15.75" customHeight="1">
      <c r="A596" s="179"/>
      <c r="B596" s="179"/>
      <c r="C596" s="179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</row>
    <row r="597" ht="15.75" customHeight="1">
      <c r="A597" s="179"/>
      <c r="B597" s="179"/>
      <c r="C597" s="179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</row>
    <row r="598" ht="15.75" customHeight="1">
      <c r="A598" s="179"/>
      <c r="B598" s="179"/>
      <c r="C598" s="179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</row>
    <row r="599" ht="15.75" customHeight="1">
      <c r="A599" s="179"/>
      <c r="B599" s="179"/>
      <c r="C599" s="179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</row>
    <row r="600" ht="15.75" customHeight="1">
      <c r="A600" s="179"/>
      <c r="B600" s="179"/>
      <c r="C600" s="179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</row>
    <row r="601" ht="15.75" customHeight="1">
      <c r="A601" s="179"/>
      <c r="B601" s="179"/>
      <c r="C601" s="179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</row>
    <row r="602" ht="15.75" customHeight="1">
      <c r="A602" s="179"/>
      <c r="B602" s="179"/>
      <c r="C602" s="179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</row>
    <row r="603" ht="15.75" customHeight="1">
      <c r="A603" s="179"/>
      <c r="B603" s="179"/>
      <c r="C603" s="179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</row>
    <row r="604" ht="15.75" customHeight="1">
      <c r="A604" s="179"/>
      <c r="B604" s="179"/>
      <c r="C604" s="179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</row>
    <row r="605" ht="15.75" customHeight="1">
      <c r="A605" s="179"/>
      <c r="B605" s="179"/>
      <c r="C605" s="179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</row>
    <row r="606" ht="15.75" customHeight="1">
      <c r="A606" s="179"/>
      <c r="B606" s="179"/>
      <c r="C606" s="179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</row>
    <row r="607" ht="15.75" customHeight="1">
      <c r="A607" s="179"/>
      <c r="B607" s="179"/>
      <c r="C607" s="179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</row>
    <row r="608" ht="15.75" customHeight="1">
      <c r="A608" s="179"/>
      <c r="B608" s="179"/>
      <c r="C608" s="179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</row>
    <row r="609" ht="15.75" customHeight="1">
      <c r="A609" s="179"/>
      <c r="B609" s="179"/>
      <c r="C609" s="179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</row>
    <row r="610" ht="15.75" customHeight="1">
      <c r="A610" s="179"/>
      <c r="B610" s="179"/>
      <c r="C610" s="179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</row>
    <row r="611" ht="15.75" customHeight="1">
      <c r="A611" s="179"/>
      <c r="B611" s="179"/>
      <c r="C611" s="179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</row>
    <row r="612" ht="15.75" customHeight="1">
      <c r="A612" s="179"/>
      <c r="B612" s="179"/>
      <c r="C612" s="179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</row>
    <row r="613" ht="15.75" customHeight="1">
      <c r="A613" s="179"/>
      <c r="B613" s="179"/>
      <c r="C613" s="179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</row>
    <row r="614" ht="15.75" customHeight="1">
      <c r="A614" s="179"/>
      <c r="B614" s="179"/>
      <c r="C614" s="179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</row>
    <row r="615" ht="15.75" customHeight="1">
      <c r="A615" s="179"/>
      <c r="B615" s="179"/>
      <c r="C615" s="179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</row>
    <row r="616" ht="15.75" customHeight="1">
      <c r="A616" s="179"/>
      <c r="B616" s="179"/>
      <c r="C616" s="179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</row>
    <row r="617" ht="15.75" customHeight="1">
      <c r="A617" s="179"/>
      <c r="B617" s="179"/>
      <c r="C617" s="179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</row>
    <row r="618" ht="15.75" customHeight="1">
      <c r="A618" s="179"/>
      <c r="B618" s="179"/>
      <c r="C618" s="179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</row>
    <row r="619" ht="15.75" customHeight="1">
      <c r="A619" s="179"/>
      <c r="B619" s="179"/>
      <c r="C619" s="179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</row>
    <row r="620" ht="15.75" customHeight="1">
      <c r="A620" s="179"/>
      <c r="B620" s="179"/>
      <c r="C620" s="179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</row>
    <row r="621" ht="15.75" customHeight="1">
      <c r="A621" s="179"/>
      <c r="B621" s="179"/>
      <c r="C621" s="179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</row>
    <row r="622" ht="15.75" customHeight="1">
      <c r="A622" s="179"/>
      <c r="B622" s="179"/>
      <c r="C622" s="179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</row>
    <row r="623" ht="15.75" customHeight="1">
      <c r="A623" s="179"/>
      <c r="B623" s="179"/>
      <c r="C623" s="179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</row>
    <row r="624" ht="15.75" customHeight="1">
      <c r="A624" s="179"/>
      <c r="B624" s="179"/>
      <c r="C624" s="179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  <row r="625" ht="15.75" customHeight="1">
      <c r="A625" s="179"/>
      <c r="B625" s="179"/>
      <c r="C625" s="179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</row>
    <row r="626" ht="15.75" customHeight="1">
      <c r="A626" s="179"/>
      <c r="B626" s="179"/>
      <c r="C626" s="179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</row>
    <row r="627" ht="15.75" customHeight="1">
      <c r="A627" s="179"/>
      <c r="B627" s="179"/>
      <c r="C627" s="179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</row>
    <row r="628" ht="15.75" customHeight="1">
      <c r="A628" s="179"/>
      <c r="B628" s="179"/>
      <c r="C628" s="179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</row>
    <row r="629" ht="15.75" customHeight="1">
      <c r="A629" s="179"/>
      <c r="B629" s="179"/>
      <c r="C629" s="179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</row>
    <row r="630" ht="15.75" customHeight="1">
      <c r="A630" s="179"/>
      <c r="B630" s="179"/>
      <c r="C630" s="179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</row>
    <row r="631" ht="15.75" customHeight="1">
      <c r="A631" s="179"/>
      <c r="B631" s="179"/>
      <c r="C631" s="179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</row>
    <row r="632" ht="15.75" customHeight="1">
      <c r="A632" s="179"/>
      <c r="B632" s="179"/>
      <c r="C632" s="179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</row>
    <row r="633" ht="15.75" customHeight="1">
      <c r="A633" s="179"/>
      <c r="B633" s="179"/>
      <c r="C633" s="179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</row>
    <row r="634" ht="15.75" customHeight="1">
      <c r="A634" s="179"/>
      <c r="B634" s="179"/>
      <c r="C634" s="179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</row>
    <row r="635" ht="15.75" customHeight="1">
      <c r="A635" s="179"/>
      <c r="B635" s="179"/>
      <c r="C635" s="179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</row>
    <row r="636" ht="15.75" customHeight="1">
      <c r="A636" s="179"/>
      <c r="B636" s="179"/>
      <c r="C636" s="179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</row>
    <row r="637" ht="15.75" customHeight="1">
      <c r="A637" s="179"/>
      <c r="B637" s="179"/>
      <c r="C637" s="179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</row>
    <row r="638" ht="15.75" customHeight="1">
      <c r="A638" s="179"/>
      <c r="B638" s="179"/>
      <c r="C638" s="179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</row>
    <row r="639" ht="15.75" customHeight="1">
      <c r="A639" s="179"/>
      <c r="B639" s="179"/>
      <c r="C639" s="179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</row>
    <row r="640" ht="15.75" customHeight="1">
      <c r="A640" s="179"/>
      <c r="B640" s="179"/>
      <c r="C640" s="179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</row>
    <row r="641" ht="15.75" customHeight="1">
      <c r="A641" s="179"/>
      <c r="B641" s="179"/>
      <c r="C641" s="179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</row>
    <row r="642" ht="15.75" customHeight="1">
      <c r="A642" s="179"/>
      <c r="B642" s="179"/>
      <c r="C642" s="179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</row>
    <row r="643" ht="15.75" customHeight="1">
      <c r="A643" s="179"/>
      <c r="B643" s="179"/>
      <c r="C643" s="179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</row>
    <row r="644" ht="15.75" customHeight="1">
      <c r="A644" s="179"/>
      <c r="B644" s="179"/>
      <c r="C644" s="179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</row>
    <row r="645" ht="15.75" customHeight="1">
      <c r="A645" s="179"/>
      <c r="B645" s="179"/>
      <c r="C645" s="179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</row>
    <row r="646" ht="15.75" customHeight="1">
      <c r="A646" s="179"/>
      <c r="B646" s="179"/>
      <c r="C646" s="179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</row>
    <row r="647" ht="15.75" customHeight="1">
      <c r="A647" s="179"/>
      <c r="B647" s="179"/>
      <c r="C647" s="179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</row>
    <row r="648" ht="15.75" customHeight="1">
      <c r="A648" s="179"/>
      <c r="B648" s="179"/>
      <c r="C648" s="179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</row>
    <row r="649" ht="15.75" customHeight="1">
      <c r="A649" s="179"/>
      <c r="B649" s="179"/>
      <c r="C649" s="179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</row>
    <row r="650" ht="15.75" customHeight="1">
      <c r="A650" s="179"/>
      <c r="B650" s="179"/>
      <c r="C650" s="179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</row>
    <row r="651" ht="15.75" customHeight="1">
      <c r="A651" s="179"/>
      <c r="B651" s="179"/>
      <c r="C651" s="179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</row>
    <row r="652" ht="15.75" customHeight="1">
      <c r="A652" s="179"/>
      <c r="B652" s="179"/>
      <c r="C652" s="179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</row>
    <row r="653" ht="15.75" customHeight="1">
      <c r="A653" s="179"/>
      <c r="B653" s="179"/>
      <c r="C653" s="179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</row>
    <row r="654" ht="15.75" customHeight="1">
      <c r="A654" s="179"/>
      <c r="B654" s="179"/>
      <c r="C654" s="179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</row>
    <row r="655" ht="15.75" customHeight="1">
      <c r="A655" s="179"/>
      <c r="B655" s="179"/>
      <c r="C655" s="179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</row>
    <row r="656" ht="15.75" customHeight="1">
      <c r="A656" s="179"/>
      <c r="B656" s="179"/>
      <c r="C656" s="179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</row>
    <row r="657" ht="15.75" customHeight="1">
      <c r="A657" s="179"/>
      <c r="B657" s="179"/>
      <c r="C657" s="179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</row>
    <row r="658" ht="15.75" customHeight="1">
      <c r="A658" s="179"/>
      <c r="B658" s="179"/>
      <c r="C658" s="179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</row>
    <row r="659" ht="15.75" customHeight="1">
      <c r="A659" s="179"/>
      <c r="B659" s="179"/>
      <c r="C659" s="179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</row>
    <row r="660" ht="15.75" customHeight="1">
      <c r="A660" s="179"/>
      <c r="B660" s="179"/>
      <c r="C660" s="179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</row>
    <row r="661" ht="15.75" customHeight="1">
      <c r="A661" s="179"/>
      <c r="B661" s="179"/>
      <c r="C661" s="179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</row>
    <row r="662" ht="15.75" customHeight="1">
      <c r="A662" s="179"/>
      <c r="B662" s="179"/>
      <c r="C662" s="179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</row>
    <row r="663" ht="15.75" customHeight="1">
      <c r="A663" s="179"/>
      <c r="B663" s="179"/>
      <c r="C663" s="179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</row>
    <row r="664" ht="15.75" customHeight="1">
      <c r="A664" s="179"/>
      <c r="B664" s="179"/>
      <c r="C664" s="179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</row>
    <row r="665" ht="15.75" customHeight="1">
      <c r="A665" s="179"/>
      <c r="B665" s="179"/>
      <c r="C665" s="179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</row>
    <row r="666" ht="15.75" customHeight="1">
      <c r="A666" s="179"/>
      <c r="B666" s="179"/>
      <c r="C666" s="179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</row>
    <row r="667" ht="15.75" customHeight="1">
      <c r="A667" s="179"/>
      <c r="B667" s="179"/>
      <c r="C667" s="179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</row>
    <row r="668" ht="15.75" customHeight="1">
      <c r="A668" s="179"/>
      <c r="B668" s="179"/>
      <c r="C668" s="179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</row>
    <row r="669" ht="15.75" customHeight="1">
      <c r="A669" s="179"/>
      <c r="B669" s="179"/>
      <c r="C669" s="179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</row>
    <row r="670" ht="15.75" customHeight="1">
      <c r="A670" s="179"/>
      <c r="B670" s="179"/>
      <c r="C670" s="179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</row>
    <row r="671" ht="15.75" customHeight="1">
      <c r="A671" s="179"/>
      <c r="B671" s="179"/>
      <c r="C671" s="179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</row>
    <row r="672" ht="15.75" customHeight="1">
      <c r="A672" s="179"/>
      <c r="B672" s="179"/>
      <c r="C672" s="179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</row>
    <row r="673" ht="15.75" customHeight="1">
      <c r="A673" s="179"/>
      <c r="B673" s="179"/>
      <c r="C673" s="179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</row>
    <row r="674" ht="15.75" customHeight="1">
      <c r="A674" s="179"/>
      <c r="B674" s="179"/>
      <c r="C674" s="179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</row>
    <row r="675" ht="15.75" customHeight="1">
      <c r="A675" s="179"/>
      <c r="B675" s="179"/>
      <c r="C675" s="179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</row>
    <row r="676" ht="15.75" customHeight="1">
      <c r="A676" s="179"/>
      <c r="B676" s="179"/>
      <c r="C676" s="179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</row>
    <row r="677" ht="15.75" customHeight="1">
      <c r="A677" s="179"/>
      <c r="B677" s="179"/>
      <c r="C677" s="179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</row>
    <row r="678" ht="15.75" customHeight="1">
      <c r="A678" s="179"/>
      <c r="B678" s="179"/>
      <c r="C678" s="179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</row>
    <row r="679" ht="15.75" customHeight="1">
      <c r="A679" s="179"/>
      <c r="B679" s="179"/>
      <c r="C679" s="179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</row>
    <row r="680" ht="15.75" customHeight="1">
      <c r="A680" s="179"/>
      <c r="B680" s="179"/>
      <c r="C680" s="179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</row>
    <row r="681" ht="15.75" customHeight="1">
      <c r="A681" s="179"/>
      <c r="B681" s="179"/>
      <c r="C681" s="179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</row>
    <row r="682" ht="15.75" customHeight="1">
      <c r="A682" s="179"/>
      <c r="B682" s="179"/>
      <c r="C682" s="179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</row>
    <row r="683" ht="15.75" customHeight="1">
      <c r="A683" s="179"/>
      <c r="B683" s="179"/>
      <c r="C683" s="179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</row>
    <row r="684" ht="15.75" customHeight="1">
      <c r="A684" s="179"/>
      <c r="B684" s="179"/>
      <c r="C684" s="179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</row>
    <row r="685" ht="15.75" customHeight="1">
      <c r="A685" s="179"/>
      <c r="B685" s="179"/>
      <c r="C685" s="179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</row>
    <row r="686" ht="15.75" customHeight="1">
      <c r="A686" s="179"/>
      <c r="B686" s="179"/>
      <c r="C686" s="179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</row>
    <row r="687" ht="15.75" customHeight="1">
      <c r="A687" s="179"/>
      <c r="B687" s="179"/>
      <c r="C687" s="179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</row>
    <row r="688" ht="15.75" customHeight="1">
      <c r="A688" s="179"/>
      <c r="B688" s="179"/>
      <c r="C688" s="179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</row>
    <row r="689" ht="15.75" customHeight="1">
      <c r="A689" s="179"/>
      <c r="B689" s="179"/>
      <c r="C689" s="179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</row>
    <row r="690" ht="15.75" customHeight="1">
      <c r="A690" s="179"/>
      <c r="B690" s="179"/>
      <c r="C690" s="179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</row>
    <row r="691" ht="15.75" customHeight="1">
      <c r="A691" s="179"/>
      <c r="B691" s="179"/>
      <c r="C691" s="179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</row>
    <row r="692" ht="15.75" customHeight="1">
      <c r="A692" s="179"/>
      <c r="B692" s="179"/>
      <c r="C692" s="179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</row>
    <row r="693" ht="15.75" customHeight="1">
      <c r="A693" s="179"/>
      <c r="B693" s="179"/>
      <c r="C693" s="179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</row>
    <row r="694" ht="15.75" customHeight="1">
      <c r="A694" s="179"/>
      <c r="B694" s="179"/>
      <c r="C694" s="179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</row>
    <row r="695" ht="15.75" customHeight="1">
      <c r="A695" s="179"/>
      <c r="B695" s="179"/>
      <c r="C695" s="179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</row>
    <row r="696" ht="15.75" customHeight="1">
      <c r="A696" s="179"/>
      <c r="B696" s="179"/>
      <c r="C696" s="179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</row>
    <row r="697" ht="15.75" customHeight="1">
      <c r="A697" s="179"/>
      <c r="B697" s="179"/>
      <c r="C697" s="179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</row>
    <row r="698" ht="15.75" customHeight="1">
      <c r="A698" s="179"/>
      <c r="B698" s="179"/>
      <c r="C698" s="179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</row>
    <row r="699" ht="15.75" customHeight="1">
      <c r="A699" s="179"/>
      <c r="B699" s="179"/>
      <c r="C699" s="179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</row>
    <row r="700" ht="15.75" customHeight="1">
      <c r="A700" s="179"/>
      <c r="B700" s="179"/>
      <c r="C700" s="179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</row>
    <row r="701" ht="15.75" customHeight="1">
      <c r="A701" s="179"/>
      <c r="B701" s="179"/>
      <c r="C701" s="179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</row>
    <row r="702" ht="15.75" customHeight="1">
      <c r="A702" s="179"/>
      <c r="B702" s="179"/>
      <c r="C702" s="179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</row>
    <row r="703" ht="15.75" customHeight="1">
      <c r="A703" s="179"/>
      <c r="B703" s="179"/>
      <c r="C703" s="179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</row>
    <row r="704" ht="15.75" customHeight="1">
      <c r="A704" s="179"/>
      <c r="B704" s="179"/>
      <c r="C704" s="179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</row>
    <row r="705" ht="15.75" customHeight="1">
      <c r="A705" s="179"/>
      <c r="B705" s="179"/>
      <c r="C705" s="179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</row>
    <row r="706" ht="15.75" customHeight="1">
      <c r="A706" s="179"/>
      <c r="B706" s="179"/>
      <c r="C706" s="179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</row>
    <row r="707" ht="15.75" customHeight="1">
      <c r="A707" s="179"/>
      <c r="B707" s="179"/>
      <c r="C707" s="179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</row>
    <row r="708" ht="15.75" customHeight="1">
      <c r="A708" s="179"/>
      <c r="B708" s="179"/>
      <c r="C708" s="179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</row>
    <row r="709" ht="15.75" customHeight="1">
      <c r="A709" s="179"/>
      <c r="B709" s="179"/>
      <c r="C709" s="179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</row>
    <row r="710" ht="15.75" customHeight="1">
      <c r="A710" s="179"/>
      <c r="B710" s="179"/>
      <c r="C710" s="179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</row>
    <row r="711" ht="15.75" customHeight="1">
      <c r="A711" s="179"/>
      <c r="B711" s="179"/>
      <c r="C711" s="179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</row>
    <row r="712" ht="15.75" customHeight="1">
      <c r="A712" s="179"/>
      <c r="B712" s="179"/>
      <c r="C712" s="179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</row>
    <row r="713" ht="15.75" customHeight="1">
      <c r="A713" s="179"/>
      <c r="B713" s="179"/>
      <c r="C713" s="179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</row>
    <row r="714" ht="15.75" customHeight="1">
      <c r="A714" s="179"/>
      <c r="B714" s="179"/>
      <c r="C714" s="179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</row>
    <row r="715" ht="15.75" customHeight="1">
      <c r="A715" s="179"/>
      <c r="B715" s="179"/>
      <c r="C715" s="179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</row>
    <row r="716" ht="15.75" customHeight="1">
      <c r="A716" s="179"/>
      <c r="B716" s="179"/>
      <c r="C716" s="179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</row>
    <row r="717" ht="15.75" customHeight="1">
      <c r="A717" s="179"/>
      <c r="B717" s="179"/>
      <c r="C717" s="179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</row>
    <row r="718" ht="15.75" customHeight="1">
      <c r="A718" s="179"/>
      <c r="B718" s="179"/>
      <c r="C718" s="179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</row>
    <row r="719" ht="15.75" customHeight="1">
      <c r="A719" s="179"/>
      <c r="B719" s="179"/>
      <c r="C719" s="179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</row>
    <row r="720" ht="15.75" customHeight="1">
      <c r="A720" s="179"/>
      <c r="B720" s="179"/>
      <c r="C720" s="179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</row>
    <row r="721" ht="15.75" customHeight="1">
      <c r="A721" s="179"/>
      <c r="B721" s="179"/>
      <c r="C721" s="179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</row>
    <row r="722" ht="15.75" customHeight="1">
      <c r="A722" s="179"/>
      <c r="B722" s="179"/>
      <c r="C722" s="179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</row>
    <row r="723" ht="15.75" customHeight="1">
      <c r="A723" s="179"/>
      <c r="B723" s="179"/>
      <c r="C723" s="179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</row>
    <row r="724" ht="15.75" customHeight="1">
      <c r="A724" s="179"/>
      <c r="B724" s="179"/>
      <c r="C724" s="179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</row>
    <row r="725" ht="15.75" customHeight="1">
      <c r="A725" s="179"/>
      <c r="B725" s="179"/>
      <c r="C725" s="179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</row>
    <row r="726" ht="15.75" customHeight="1">
      <c r="A726" s="179"/>
      <c r="B726" s="179"/>
      <c r="C726" s="179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</row>
    <row r="727" ht="15.75" customHeight="1">
      <c r="A727" s="179"/>
      <c r="B727" s="179"/>
      <c r="C727" s="179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</row>
    <row r="728" ht="15.75" customHeight="1">
      <c r="A728" s="179"/>
      <c r="B728" s="179"/>
      <c r="C728" s="179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</row>
    <row r="729" ht="15.75" customHeight="1">
      <c r="A729" s="179"/>
      <c r="B729" s="179"/>
      <c r="C729" s="179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</row>
    <row r="730" ht="15.75" customHeight="1">
      <c r="A730" s="179"/>
      <c r="B730" s="179"/>
      <c r="C730" s="179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</row>
    <row r="731" ht="15.75" customHeight="1">
      <c r="A731" s="179"/>
      <c r="B731" s="179"/>
      <c r="C731" s="179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</row>
    <row r="732" ht="15.75" customHeight="1">
      <c r="A732" s="179"/>
      <c r="B732" s="179"/>
      <c r="C732" s="179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</row>
    <row r="733" ht="15.75" customHeight="1">
      <c r="A733" s="179"/>
      <c r="B733" s="179"/>
      <c r="C733" s="179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</row>
    <row r="734" ht="15.75" customHeight="1">
      <c r="A734" s="179"/>
      <c r="B734" s="179"/>
      <c r="C734" s="179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</row>
    <row r="735" ht="15.75" customHeight="1">
      <c r="A735" s="179"/>
      <c r="B735" s="179"/>
      <c r="C735" s="179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</row>
    <row r="736" ht="15.75" customHeight="1">
      <c r="A736" s="179"/>
      <c r="B736" s="179"/>
      <c r="C736" s="179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</row>
    <row r="737" ht="15.75" customHeight="1">
      <c r="A737" s="179"/>
      <c r="B737" s="179"/>
      <c r="C737" s="179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</row>
    <row r="738" ht="15.75" customHeight="1">
      <c r="A738" s="179"/>
      <c r="B738" s="179"/>
      <c r="C738" s="179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</row>
    <row r="739" ht="15.75" customHeight="1">
      <c r="A739" s="179"/>
      <c r="B739" s="179"/>
      <c r="C739" s="179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</row>
    <row r="740" ht="15.75" customHeight="1">
      <c r="A740" s="179"/>
      <c r="B740" s="179"/>
      <c r="C740" s="179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</row>
    <row r="741" ht="15.75" customHeight="1">
      <c r="A741" s="179"/>
      <c r="B741" s="179"/>
      <c r="C741" s="179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</row>
    <row r="742" ht="15.75" customHeight="1">
      <c r="A742" s="179"/>
      <c r="B742" s="179"/>
      <c r="C742" s="179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</row>
    <row r="743" ht="15.75" customHeight="1">
      <c r="A743" s="179"/>
      <c r="B743" s="179"/>
      <c r="C743" s="179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</row>
    <row r="744" ht="15.75" customHeight="1">
      <c r="A744" s="179"/>
      <c r="B744" s="179"/>
      <c r="C744" s="179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</row>
    <row r="745" ht="15.75" customHeight="1">
      <c r="A745" s="179"/>
      <c r="B745" s="179"/>
      <c r="C745" s="179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</row>
    <row r="746" ht="15.75" customHeight="1">
      <c r="A746" s="179"/>
      <c r="B746" s="179"/>
      <c r="C746" s="179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</row>
    <row r="747" ht="15.75" customHeight="1">
      <c r="A747" s="179"/>
      <c r="B747" s="179"/>
      <c r="C747" s="179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</row>
    <row r="748" ht="15.75" customHeight="1">
      <c r="A748" s="179"/>
      <c r="B748" s="179"/>
      <c r="C748" s="179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</row>
    <row r="749" ht="15.75" customHeight="1">
      <c r="A749" s="179"/>
      <c r="B749" s="179"/>
      <c r="C749" s="179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</row>
    <row r="750" ht="15.75" customHeight="1">
      <c r="A750" s="179"/>
      <c r="B750" s="179"/>
      <c r="C750" s="179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</row>
    <row r="751" ht="15.75" customHeight="1">
      <c r="A751" s="179"/>
      <c r="B751" s="179"/>
      <c r="C751" s="179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</row>
    <row r="752" ht="15.75" customHeight="1">
      <c r="A752" s="179"/>
      <c r="B752" s="179"/>
      <c r="C752" s="179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</row>
    <row r="753" ht="15.75" customHeight="1">
      <c r="A753" s="179"/>
      <c r="B753" s="179"/>
      <c r="C753" s="179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</row>
    <row r="754" ht="15.75" customHeight="1">
      <c r="A754" s="179"/>
      <c r="B754" s="179"/>
      <c r="C754" s="179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</row>
    <row r="755" ht="15.75" customHeight="1">
      <c r="A755" s="179"/>
      <c r="B755" s="179"/>
      <c r="C755" s="179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</row>
    <row r="756" ht="15.75" customHeight="1">
      <c r="A756" s="179"/>
      <c r="B756" s="179"/>
      <c r="C756" s="179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</row>
    <row r="757" ht="15.75" customHeight="1">
      <c r="A757" s="179"/>
      <c r="B757" s="179"/>
      <c r="C757" s="179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</row>
    <row r="758" ht="15.75" customHeight="1">
      <c r="A758" s="179"/>
      <c r="B758" s="179"/>
      <c r="C758" s="179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</row>
    <row r="759" ht="15.75" customHeight="1">
      <c r="A759" s="179"/>
      <c r="B759" s="179"/>
      <c r="C759" s="179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</row>
    <row r="760" ht="15.75" customHeight="1">
      <c r="A760" s="179"/>
      <c r="B760" s="179"/>
      <c r="C760" s="179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</row>
    <row r="761" ht="15.75" customHeight="1">
      <c r="A761" s="179"/>
      <c r="B761" s="179"/>
      <c r="C761" s="179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</row>
    <row r="762" ht="15.75" customHeight="1">
      <c r="A762" s="179"/>
      <c r="B762" s="179"/>
      <c r="C762" s="179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</row>
    <row r="763" ht="15.75" customHeight="1">
      <c r="A763" s="179"/>
      <c r="B763" s="179"/>
      <c r="C763" s="179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</row>
    <row r="764" ht="15.75" customHeight="1">
      <c r="A764" s="179"/>
      <c r="B764" s="179"/>
      <c r="C764" s="179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</row>
    <row r="765" ht="15.75" customHeight="1">
      <c r="A765" s="179"/>
      <c r="B765" s="179"/>
      <c r="C765" s="179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</row>
    <row r="766" ht="15.75" customHeight="1">
      <c r="A766" s="179"/>
      <c r="B766" s="179"/>
      <c r="C766" s="179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</row>
    <row r="767" ht="15.75" customHeight="1">
      <c r="A767" s="179"/>
      <c r="B767" s="179"/>
      <c r="C767" s="179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</row>
    <row r="768" ht="15.75" customHeight="1">
      <c r="A768" s="179"/>
      <c r="B768" s="179"/>
      <c r="C768" s="179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</row>
    <row r="769" ht="15.75" customHeight="1">
      <c r="A769" s="179"/>
      <c r="B769" s="179"/>
      <c r="C769" s="179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</row>
    <row r="770" ht="15.75" customHeight="1">
      <c r="A770" s="179"/>
      <c r="B770" s="179"/>
      <c r="C770" s="179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</row>
    <row r="771" ht="15.75" customHeight="1">
      <c r="A771" s="179"/>
      <c r="B771" s="179"/>
      <c r="C771" s="179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</row>
    <row r="772" ht="15.75" customHeight="1">
      <c r="A772" s="179"/>
      <c r="B772" s="179"/>
      <c r="C772" s="179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</row>
    <row r="773" ht="15.75" customHeight="1">
      <c r="A773" s="179"/>
      <c r="B773" s="179"/>
      <c r="C773" s="179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</row>
    <row r="774" ht="15.75" customHeight="1">
      <c r="A774" s="179"/>
      <c r="B774" s="179"/>
      <c r="C774" s="179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</row>
    <row r="775" ht="15.75" customHeight="1">
      <c r="A775" s="179"/>
      <c r="B775" s="179"/>
      <c r="C775" s="179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</row>
    <row r="776" ht="15.75" customHeight="1">
      <c r="A776" s="179"/>
      <c r="B776" s="179"/>
      <c r="C776" s="179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</row>
    <row r="777" ht="15.75" customHeight="1">
      <c r="A777" s="179"/>
      <c r="B777" s="179"/>
      <c r="C777" s="179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</row>
    <row r="778" ht="15.75" customHeight="1">
      <c r="A778" s="179"/>
      <c r="B778" s="179"/>
      <c r="C778" s="179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</row>
    <row r="779" ht="15.75" customHeight="1">
      <c r="A779" s="179"/>
      <c r="B779" s="179"/>
      <c r="C779" s="179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</row>
    <row r="780" ht="15.75" customHeight="1">
      <c r="A780" s="179"/>
      <c r="B780" s="179"/>
      <c r="C780" s="179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</row>
    <row r="781" ht="15.75" customHeight="1">
      <c r="A781" s="179"/>
      <c r="B781" s="179"/>
      <c r="C781" s="179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</row>
    <row r="782" ht="15.75" customHeight="1">
      <c r="A782" s="179"/>
      <c r="B782" s="179"/>
      <c r="C782" s="179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</row>
    <row r="783" ht="15.75" customHeight="1">
      <c r="A783" s="179"/>
      <c r="B783" s="179"/>
      <c r="C783" s="179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</row>
    <row r="784" ht="15.75" customHeight="1">
      <c r="A784" s="179"/>
      <c r="B784" s="179"/>
      <c r="C784" s="179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</row>
    <row r="785" ht="15.75" customHeight="1">
      <c r="A785" s="179"/>
      <c r="B785" s="179"/>
      <c r="C785" s="179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</row>
    <row r="786" ht="15.75" customHeight="1">
      <c r="A786" s="179"/>
      <c r="B786" s="179"/>
      <c r="C786" s="179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</row>
    <row r="787" ht="15.75" customHeight="1">
      <c r="A787" s="179"/>
      <c r="B787" s="179"/>
      <c r="C787" s="179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</row>
    <row r="788" ht="15.75" customHeight="1">
      <c r="A788" s="179"/>
      <c r="B788" s="179"/>
      <c r="C788" s="179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</row>
    <row r="789" ht="15.75" customHeight="1">
      <c r="A789" s="179"/>
      <c r="B789" s="179"/>
      <c r="C789" s="179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</row>
    <row r="790" ht="15.75" customHeight="1">
      <c r="A790" s="179"/>
      <c r="B790" s="179"/>
      <c r="C790" s="179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</row>
    <row r="791" ht="15.75" customHeight="1">
      <c r="A791" s="179"/>
      <c r="B791" s="179"/>
      <c r="C791" s="179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</row>
    <row r="792" ht="15.75" customHeight="1">
      <c r="A792" s="179"/>
      <c r="B792" s="179"/>
      <c r="C792" s="179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</row>
    <row r="793" ht="15.75" customHeight="1">
      <c r="A793" s="179"/>
      <c r="B793" s="179"/>
      <c r="C793" s="179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</row>
    <row r="794" ht="15.75" customHeight="1">
      <c r="A794" s="179"/>
      <c r="B794" s="179"/>
      <c r="C794" s="179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</row>
    <row r="795" ht="15.75" customHeight="1">
      <c r="A795" s="179"/>
      <c r="B795" s="179"/>
      <c r="C795" s="179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</row>
    <row r="796" ht="15.75" customHeight="1">
      <c r="A796" s="179"/>
      <c r="B796" s="179"/>
      <c r="C796" s="179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</row>
    <row r="797" ht="15.75" customHeight="1">
      <c r="A797" s="179"/>
      <c r="B797" s="179"/>
      <c r="C797" s="179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</row>
    <row r="798" ht="15.75" customHeight="1">
      <c r="A798" s="179"/>
      <c r="B798" s="179"/>
      <c r="C798" s="179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</row>
    <row r="799" ht="15.75" customHeight="1">
      <c r="A799" s="179"/>
      <c r="B799" s="179"/>
      <c r="C799" s="179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</row>
    <row r="800" ht="15.75" customHeight="1">
      <c r="A800" s="179"/>
      <c r="B800" s="179"/>
      <c r="C800" s="179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</row>
    <row r="801" ht="15.75" customHeight="1">
      <c r="A801" s="179"/>
      <c r="B801" s="179"/>
      <c r="C801" s="179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</row>
    <row r="802" ht="15.75" customHeight="1">
      <c r="A802" s="179"/>
      <c r="B802" s="179"/>
      <c r="C802" s="179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</row>
    <row r="803" ht="15.75" customHeight="1">
      <c r="A803" s="179"/>
      <c r="B803" s="179"/>
      <c r="C803" s="179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</row>
    <row r="804" ht="15.75" customHeight="1">
      <c r="A804" s="179"/>
      <c r="B804" s="179"/>
      <c r="C804" s="179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</row>
    <row r="805" ht="15.75" customHeight="1">
      <c r="A805" s="179"/>
      <c r="B805" s="179"/>
      <c r="C805" s="179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</row>
    <row r="806" ht="15.75" customHeight="1">
      <c r="A806" s="179"/>
      <c r="B806" s="179"/>
      <c r="C806" s="179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</row>
    <row r="807" ht="15.75" customHeight="1">
      <c r="A807" s="179"/>
      <c r="B807" s="179"/>
      <c r="C807" s="179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</row>
    <row r="808" ht="15.75" customHeight="1">
      <c r="A808" s="179"/>
      <c r="B808" s="179"/>
      <c r="C808" s="179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</row>
    <row r="809" ht="15.75" customHeight="1">
      <c r="A809" s="179"/>
      <c r="B809" s="179"/>
      <c r="C809" s="179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</row>
    <row r="810" ht="15.75" customHeight="1">
      <c r="A810" s="179"/>
      <c r="B810" s="179"/>
      <c r="C810" s="179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</row>
    <row r="811" ht="15.75" customHeight="1">
      <c r="A811" s="179"/>
      <c r="B811" s="179"/>
      <c r="C811" s="179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</row>
    <row r="812" ht="15.75" customHeight="1">
      <c r="A812" s="179"/>
      <c r="B812" s="179"/>
      <c r="C812" s="179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</row>
    <row r="813" ht="15.75" customHeight="1">
      <c r="A813" s="179"/>
      <c r="B813" s="179"/>
      <c r="C813" s="179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</row>
    <row r="814" ht="15.75" customHeight="1">
      <c r="A814" s="179"/>
      <c r="B814" s="179"/>
      <c r="C814" s="179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</row>
    <row r="815" ht="15.75" customHeight="1">
      <c r="A815" s="179"/>
      <c r="B815" s="179"/>
      <c r="C815" s="179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</row>
    <row r="816" ht="15.75" customHeight="1">
      <c r="A816" s="179"/>
      <c r="B816" s="179"/>
      <c r="C816" s="179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</row>
    <row r="817" ht="15.75" customHeight="1">
      <c r="A817" s="179"/>
      <c r="B817" s="179"/>
      <c r="C817" s="179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</row>
    <row r="818" ht="15.75" customHeight="1">
      <c r="A818" s="179"/>
      <c r="B818" s="179"/>
      <c r="C818" s="179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</row>
    <row r="819" ht="15.75" customHeight="1">
      <c r="A819" s="179"/>
      <c r="B819" s="179"/>
      <c r="C819" s="179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</row>
    <row r="820" ht="15.75" customHeight="1">
      <c r="A820" s="179"/>
      <c r="B820" s="179"/>
      <c r="C820" s="179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</row>
    <row r="821" ht="15.75" customHeight="1">
      <c r="A821" s="179"/>
      <c r="B821" s="179"/>
      <c r="C821" s="179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</row>
    <row r="822" ht="15.75" customHeight="1">
      <c r="A822" s="179"/>
      <c r="B822" s="179"/>
      <c r="C822" s="179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</row>
    <row r="823" ht="15.75" customHeight="1">
      <c r="A823" s="179"/>
      <c r="B823" s="179"/>
      <c r="C823" s="179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</row>
    <row r="824" ht="15.75" customHeight="1">
      <c r="A824" s="179"/>
      <c r="B824" s="179"/>
      <c r="C824" s="179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</row>
    <row r="825" ht="15.75" customHeight="1">
      <c r="A825" s="179"/>
      <c r="B825" s="179"/>
      <c r="C825" s="179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</row>
    <row r="826" ht="15.75" customHeight="1">
      <c r="A826" s="179"/>
      <c r="B826" s="179"/>
      <c r="C826" s="179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</row>
    <row r="827" ht="15.75" customHeight="1">
      <c r="A827" s="179"/>
      <c r="B827" s="179"/>
      <c r="C827" s="179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</row>
    <row r="828" ht="15.75" customHeight="1">
      <c r="A828" s="179"/>
      <c r="B828" s="179"/>
      <c r="C828" s="179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</row>
    <row r="829" ht="15.75" customHeight="1">
      <c r="A829" s="179"/>
      <c r="B829" s="179"/>
      <c r="C829" s="179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</row>
    <row r="830" ht="15.75" customHeight="1">
      <c r="A830" s="179"/>
      <c r="B830" s="179"/>
      <c r="C830" s="179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</row>
    <row r="831" ht="15.75" customHeight="1">
      <c r="A831" s="179"/>
      <c r="B831" s="179"/>
      <c r="C831" s="179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</row>
    <row r="832" ht="15.75" customHeight="1">
      <c r="A832" s="179"/>
      <c r="B832" s="179"/>
      <c r="C832" s="179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</row>
    <row r="833" ht="15.75" customHeight="1">
      <c r="A833" s="179"/>
      <c r="B833" s="179"/>
      <c r="C833" s="179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</row>
    <row r="834" ht="15.75" customHeight="1">
      <c r="A834" s="179"/>
      <c r="B834" s="179"/>
      <c r="C834" s="179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</row>
    <row r="835" ht="15.75" customHeight="1">
      <c r="A835" s="179"/>
      <c r="B835" s="179"/>
      <c r="C835" s="179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</row>
    <row r="836" ht="15.75" customHeight="1">
      <c r="A836" s="179"/>
      <c r="B836" s="179"/>
      <c r="C836" s="179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</row>
    <row r="837" ht="15.75" customHeight="1">
      <c r="A837" s="179"/>
      <c r="B837" s="179"/>
      <c r="C837" s="179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</row>
    <row r="838" ht="15.75" customHeight="1">
      <c r="A838" s="179"/>
      <c r="B838" s="179"/>
      <c r="C838" s="179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</row>
    <row r="839" ht="15.75" customHeight="1">
      <c r="A839" s="179"/>
      <c r="B839" s="179"/>
      <c r="C839" s="179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</row>
    <row r="840" ht="15.75" customHeight="1">
      <c r="A840" s="179"/>
      <c r="B840" s="179"/>
      <c r="C840" s="179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</row>
    <row r="841" ht="15.75" customHeight="1">
      <c r="A841" s="179"/>
      <c r="B841" s="179"/>
      <c r="C841" s="179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</row>
    <row r="842" ht="15.75" customHeight="1">
      <c r="A842" s="179"/>
      <c r="B842" s="179"/>
      <c r="C842" s="179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</row>
    <row r="843" ht="15.75" customHeight="1">
      <c r="A843" s="179"/>
      <c r="B843" s="179"/>
      <c r="C843" s="179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</row>
    <row r="844" ht="15.75" customHeight="1">
      <c r="A844" s="179"/>
      <c r="B844" s="179"/>
      <c r="C844" s="179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</row>
    <row r="845" ht="15.75" customHeight="1">
      <c r="A845" s="179"/>
      <c r="B845" s="179"/>
      <c r="C845" s="179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</row>
    <row r="846" ht="15.75" customHeight="1">
      <c r="A846" s="179"/>
      <c r="B846" s="179"/>
      <c r="C846" s="179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</row>
    <row r="847" ht="15.75" customHeight="1">
      <c r="A847" s="179"/>
      <c r="B847" s="179"/>
      <c r="C847" s="179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</row>
    <row r="848" ht="15.75" customHeight="1">
      <c r="A848" s="179"/>
      <c r="B848" s="179"/>
      <c r="C848" s="179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</row>
    <row r="849" ht="15.75" customHeight="1">
      <c r="A849" s="179"/>
      <c r="B849" s="179"/>
      <c r="C849" s="179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</row>
    <row r="850" ht="15.75" customHeight="1">
      <c r="A850" s="179"/>
      <c r="B850" s="179"/>
      <c r="C850" s="179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</row>
    <row r="851" ht="15.75" customHeight="1">
      <c r="A851" s="179"/>
      <c r="B851" s="179"/>
      <c r="C851" s="179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</row>
    <row r="852" ht="15.75" customHeight="1">
      <c r="A852" s="179"/>
      <c r="B852" s="179"/>
      <c r="C852" s="179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</row>
    <row r="853" ht="15.75" customHeight="1">
      <c r="A853" s="179"/>
      <c r="B853" s="179"/>
      <c r="C853" s="179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</row>
    <row r="854" ht="15.75" customHeight="1">
      <c r="A854" s="179"/>
      <c r="B854" s="179"/>
      <c r="C854" s="179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</row>
    <row r="855" ht="15.75" customHeight="1">
      <c r="A855" s="179"/>
      <c r="B855" s="179"/>
      <c r="C855" s="179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</row>
    <row r="856" ht="15.75" customHeight="1">
      <c r="A856" s="179"/>
      <c r="B856" s="179"/>
      <c r="C856" s="179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</row>
    <row r="857" ht="15.75" customHeight="1">
      <c r="A857" s="179"/>
      <c r="B857" s="179"/>
      <c r="C857" s="179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</row>
    <row r="858" ht="15.75" customHeight="1">
      <c r="A858" s="179"/>
      <c r="B858" s="179"/>
      <c r="C858" s="179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</row>
    <row r="859" ht="15.75" customHeight="1">
      <c r="A859" s="179"/>
      <c r="B859" s="179"/>
      <c r="C859" s="179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</row>
    <row r="860" ht="15.75" customHeight="1">
      <c r="A860" s="179"/>
      <c r="B860" s="179"/>
      <c r="C860" s="179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</row>
    <row r="861" ht="15.75" customHeight="1">
      <c r="A861" s="179"/>
      <c r="B861" s="179"/>
      <c r="C861" s="179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</row>
    <row r="862" ht="15.75" customHeight="1">
      <c r="A862" s="179"/>
      <c r="B862" s="179"/>
      <c r="C862" s="179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</row>
    <row r="863" ht="15.75" customHeight="1">
      <c r="A863" s="179"/>
      <c r="B863" s="179"/>
      <c r="C863" s="179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</row>
    <row r="864" ht="15.75" customHeight="1">
      <c r="A864" s="179"/>
      <c r="B864" s="179"/>
      <c r="C864" s="179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</row>
    <row r="865" ht="15.75" customHeight="1">
      <c r="A865" s="179"/>
      <c r="B865" s="179"/>
      <c r="C865" s="179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</row>
    <row r="866" ht="15.75" customHeight="1">
      <c r="A866" s="179"/>
      <c r="B866" s="179"/>
      <c r="C866" s="179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</row>
    <row r="867" ht="15.75" customHeight="1">
      <c r="A867" s="179"/>
      <c r="B867" s="179"/>
      <c r="C867" s="179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</row>
    <row r="868" ht="15.75" customHeight="1">
      <c r="A868" s="179"/>
      <c r="B868" s="179"/>
      <c r="C868" s="179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</row>
    <row r="869" ht="15.75" customHeight="1">
      <c r="A869" s="179"/>
      <c r="B869" s="179"/>
      <c r="C869" s="179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</row>
    <row r="870" ht="15.75" customHeight="1">
      <c r="A870" s="179"/>
      <c r="B870" s="179"/>
      <c r="C870" s="179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</row>
    <row r="871" ht="15.75" customHeight="1">
      <c r="A871" s="179"/>
      <c r="B871" s="179"/>
      <c r="C871" s="179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</row>
    <row r="872" ht="15.75" customHeight="1">
      <c r="A872" s="179"/>
      <c r="B872" s="179"/>
      <c r="C872" s="179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</row>
    <row r="873" ht="15.75" customHeight="1">
      <c r="A873" s="179"/>
      <c r="B873" s="179"/>
      <c r="C873" s="179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</row>
    <row r="874" ht="15.75" customHeight="1">
      <c r="A874" s="179"/>
      <c r="B874" s="179"/>
      <c r="C874" s="179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</row>
    <row r="875" ht="15.75" customHeight="1">
      <c r="A875" s="179"/>
      <c r="B875" s="179"/>
      <c r="C875" s="179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</row>
    <row r="876" ht="15.75" customHeight="1">
      <c r="A876" s="179"/>
      <c r="B876" s="179"/>
      <c r="C876" s="179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</row>
    <row r="877" ht="15.75" customHeight="1">
      <c r="A877" s="179"/>
      <c r="B877" s="179"/>
      <c r="C877" s="179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</row>
    <row r="878" ht="15.75" customHeight="1">
      <c r="A878" s="179"/>
      <c r="B878" s="179"/>
      <c r="C878" s="179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</row>
    <row r="879" ht="15.75" customHeight="1">
      <c r="A879" s="179"/>
      <c r="B879" s="179"/>
      <c r="C879" s="179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</row>
    <row r="880" ht="15.75" customHeight="1">
      <c r="A880" s="179"/>
      <c r="B880" s="179"/>
      <c r="C880" s="179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</row>
    <row r="881" ht="15.75" customHeight="1">
      <c r="A881" s="179"/>
      <c r="B881" s="179"/>
      <c r="C881" s="179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</row>
    <row r="882" ht="15.75" customHeight="1">
      <c r="A882" s="179"/>
      <c r="B882" s="179"/>
      <c r="C882" s="179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</row>
    <row r="883" ht="15.75" customHeight="1">
      <c r="A883" s="179"/>
      <c r="B883" s="179"/>
      <c r="C883" s="179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</row>
    <row r="884" ht="15.75" customHeight="1">
      <c r="A884" s="179"/>
      <c r="B884" s="179"/>
      <c r="C884" s="179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</row>
    <row r="885" ht="15.75" customHeight="1">
      <c r="A885" s="179"/>
      <c r="B885" s="179"/>
      <c r="C885" s="179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</row>
    <row r="886" ht="15.75" customHeight="1">
      <c r="A886" s="179"/>
      <c r="B886" s="179"/>
      <c r="C886" s="179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</row>
    <row r="887" ht="15.75" customHeight="1">
      <c r="A887" s="179"/>
      <c r="B887" s="179"/>
      <c r="C887" s="179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</row>
    <row r="888" ht="15.75" customHeight="1">
      <c r="A888" s="179"/>
      <c r="B888" s="179"/>
      <c r="C888" s="179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</row>
    <row r="889" ht="15.75" customHeight="1">
      <c r="A889" s="179"/>
      <c r="B889" s="179"/>
      <c r="C889" s="179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</row>
    <row r="890" ht="15.75" customHeight="1">
      <c r="A890" s="179"/>
      <c r="B890" s="179"/>
      <c r="C890" s="179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</row>
    <row r="891" ht="15.75" customHeight="1">
      <c r="A891" s="179"/>
      <c r="B891" s="179"/>
      <c r="C891" s="179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</row>
    <row r="892" ht="15.75" customHeight="1">
      <c r="A892" s="179"/>
      <c r="B892" s="179"/>
      <c r="C892" s="179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</row>
    <row r="893" ht="15.75" customHeight="1">
      <c r="A893" s="179"/>
      <c r="B893" s="179"/>
      <c r="C893" s="179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</row>
    <row r="894" ht="15.75" customHeight="1">
      <c r="A894" s="179"/>
      <c r="B894" s="179"/>
      <c r="C894" s="179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</row>
    <row r="895" ht="15.75" customHeight="1">
      <c r="A895" s="179"/>
      <c r="B895" s="179"/>
      <c r="C895" s="179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</row>
    <row r="896" ht="15.75" customHeight="1">
      <c r="A896" s="179"/>
      <c r="B896" s="179"/>
      <c r="C896" s="179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</row>
    <row r="897" ht="15.75" customHeight="1">
      <c r="A897" s="179"/>
      <c r="B897" s="179"/>
      <c r="C897" s="179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</row>
    <row r="898" ht="15.75" customHeight="1">
      <c r="A898" s="179"/>
      <c r="B898" s="179"/>
      <c r="C898" s="179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</row>
    <row r="899" ht="15.75" customHeight="1">
      <c r="A899" s="179"/>
      <c r="B899" s="179"/>
      <c r="C899" s="179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</row>
    <row r="900" ht="15.75" customHeight="1">
      <c r="A900" s="179"/>
      <c r="B900" s="179"/>
      <c r="C900" s="179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</row>
    <row r="901" ht="15.75" customHeight="1">
      <c r="A901" s="179"/>
      <c r="B901" s="179"/>
      <c r="C901" s="179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</row>
    <row r="902" ht="15.75" customHeight="1">
      <c r="A902" s="179"/>
      <c r="B902" s="179"/>
      <c r="C902" s="179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</row>
    <row r="903" ht="15.75" customHeight="1">
      <c r="A903" s="179"/>
      <c r="B903" s="179"/>
      <c r="C903" s="179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</row>
    <row r="904" ht="15.75" customHeight="1">
      <c r="A904" s="179"/>
      <c r="B904" s="179"/>
      <c r="C904" s="179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</row>
    <row r="905" ht="15.75" customHeight="1">
      <c r="A905" s="179"/>
      <c r="B905" s="179"/>
      <c r="C905" s="179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</row>
    <row r="906" ht="15.75" customHeight="1">
      <c r="A906" s="179"/>
      <c r="B906" s="179"/>
      <c r="C906" s="179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</row>
    <row r="907" ht="15.75" customHeight="1">
      <c r="A907" s="179"/>
      <c r="B907" s="179"/>
      <c r="C907" s="179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</row>
    <row r="908" ht="15.75" customHeight="1">
      <c r="A908" s="179"/>
      <c r="B908" s="179"/>
      <c r="C908" s="179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</row>
    <row r="909" ht="15.75" customHeight="1">
      <c r="A909" s="179"/>
      <c r="B909" s="179"/>
      <c r="C909" s="179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</row>
    <row r="910" ht="15.75" customHeight="1">
      <c r="A910" s="179"/>
      <c r="B910" s="179"/>
      <c r="C910" s="179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</row>
    <row r="911" ht="15.75" customHeight="1">
      <c r="A911" s="179"/>
      <c r="B911" s="179"/>
      <c r="C911" s="179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</row>
    <row r="912" ht="15.75" customHeight="1">
      <c r="A912" s="179"/>
      <c r="B912" s="179"/>
      <c r="C912" s="179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</row>
    <row r="913" ht="15.75" customHeight="1">
      <c r="A913" s="179"/>
      <c r="B913" s="179"/>
      <c r="C913" s="179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</row>
    <row r="914" ht="15.75" customHeight="1">
      <c r="A914" s="179"/>
      <c r="B914" s="179"/>
      <c r="C914" s="179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</row>
    <row r="915" ht="15.75" customHeight="1">
      <c r="A915" s="179"/>
      <c r="B915" s="179"/>
      <c r="C915" s="179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  <c r="X915" s="181"/>
      <c r="Y915" s="181"/>
      <c r="Z915" s="181"/>
    </row>
    <row r="916" ht="15.75" customHeight="1">
      <c r="A916" s="179"/>
      <c r="B916" s="179"/>
      <c r="C916" s="179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  <c r="X916" s="181"/>
      <c r="Y916" s="181"/>
      <c r="Z916" s="181"/>
    </row>
    <row r="917" ht="15.75" customHeight="1">
      <c r="A917" s="179"/>
      <c r="B917" s="179"/>
      <c r="C917" s="179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  <c r="X917" s="181"/>
      <c r="Y917" s="181"/>
      <c r="Z917" s="181"/>
    </row>
    <row r="918" ht="15.75" customHeight="1">
      <c r="A918" s="179"/>
      <c r="B918" s="179"/>
      <c r="C918" s="179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  <c r="X918" s="181"/>
      <c r="Y918" s="181"/>
      <c r="Z918" s="181"/>
    </row>
    <row r="919" ht="15.75" customHeight="1">
      <c r="A919" s="179"/>
      <c r="B919" s="179"/>
      <c r="C919" s="179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  <c r="X919" s="181"/>
      <c r="Y919" s="181"/>
      <c r="Z919" s="181"/>
    </row>
    <row r="920" ht="15.75" customHeight="1">
      <c r="A920" s="179"/>
      <c r="B920" s="179"/>
      <c r="C920" s="179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</row>
    <row r="921" ht="15.75" customHeight="1">
      <c r="A921" s="179"/>
      <c r="B921" s="179"/>
      <c r="C921" s="179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</row>
    <row r="922" ht="15.75" customHeight="1">
      <c r="A922" s="179"/>
      <c r="B922" s="179"/>
      <c r="C922" s="179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  <c r="X922" s="181"/>
      <c r="Y922" s="181"/>
      <c r="Z922" s="181"/>
    </row>
    <row r="923" ht="15.75" customHeight="1">
      <c r="A923" s="179"/>
      <c r="B923" s="179"/>
      <c r="C923" s="179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  <c r="X923" s="181"/>
      <c r="Y923" s="181"/>
      <c r="Z923" s="181"/>
    </row>
    <row r="924" ht="15.75" customHeight="1">
      <c r="A924" s="179"/>
      <c r="B924" s="179"/>
      <c r="C924" s="179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  <c r="X924" s="181"/>
      <c r="Y924" s="181"/>
      <c r="Z924" s="181"/>
    </row>
    <row r="925" ht="15.75" customHeight="1">
      <c r="A925" s="179"/>
      <c r="B925" s="179"/>
      <c r="C925" s="179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  <c r="X925" s="181"/>
      <c r="Y925" s="181"/>
      <c r="Z925" s="181"/>
    </row>
    <row r="926" ht="15.75" customHeight="1">
      <c r="A926" s="179"/>
      <c r="B926" s="179"/>
      <c r="C926" s="179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  <c r="X926" s="181"/>
      <c r="Y926" s="181"/>
      <c r="Z926" s="181"/>
    </row>
    <row r="927" ht="15.75" customHeight="1">
      <c r="A927" s="179"/>
      <c r="B927" s="179"/>
      <c r="C927" s="179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  <c r="X927" s="181"/>
      <c r="Y927" s="181"/>
      <c r="Z927" s="181"/>
    </row>
    <row r="928" ht="15.75" customHeight="1">
      <c r="A928" s="179"/>
      <c r="B928" s="179"/>
      <c r="C928" s="179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</row>
    <row r="929" ht="15.75" customHeight="1">
      <c r="A929" s="179"/>
      <c r="B929" s="179"/>
      <c r="C929" s="179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</row>
    <row r="930" ht="15.75" customHeight="1">
      <c r="A930" s="179"/>
      <c r="B930" s="179"/>
      <c r="C930" s="179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  <c r="X930" s="181"/>
      <c r="Y930" s="181"/>
      <c r="Z930" s="181"/>
    </row>
    <row r="931" ht="15.75" customHeight="1">
      <c r="A931" s="179"/>
      <c r="B931" s="179"/>
      <c r="C931" s="179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  <c r="X931" s="181"/>
      <c r="Y931" s="181"/>
      <c r="Z931" s="181"/>
    </row>
    <row r="932" ht="15.75" customHeight="1">
      <c r="A932" s="179"/>
      <c r="B932" s="179"/>
      <c r="C932" s="179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</row>
    <row r="933" ht="15.75" customHeight="1">
      <c r="A933" s="179"/>
      <c r="B933" s="179"/>
      <c r="C933" s="179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</row>
    <row r="934" ht="15.75" customHeight="1">
      <c r="A934" s="179"/>
      <c r="B934" s="179"/>
      <c r="C934" s="179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  <c r="X934" s="181"/>
      <c r="Y934" s="181"/>
      <c r="Z934" s="181"/>
    </row>
    <row r="935" ht="15.75" customHeight="1">
      <c r="A935" s="179"/>
      <c r="B935" s="179"/>
      <c r="C935" s="179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  <c r="X935" s="181"/>
      <c r="Y935" s="181"/>
      <c r="Z935" s="181"/>
    </row>
    <row r="936" ht="15.75" customHeight="1">
      <c r="A936" s="179"/>
      <c r="B936" s="179"/>
      <c r="C936" s="179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  <c r="X936" s="181"/>
      <c r="Y936" s="181"/>
      <c r="Z936" s="181"/>
    </row>
    <row r="937" ht="15.75" customHeight="1">
      <c r="A937" s="179"/>
      <c r="B937" s="179"/>
      <c r="C937" s="179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  <c r="X937" s="181"/>
      <c r="Y937" s="181"/>
      <c r="Z937" s="181"/>
    </row>
    <row r="938" ht="15.75" customHeight="1">
      <c r="A938" s="179"/>
      <c r="B938" s="179"/>
      <c r="C938" s="179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  <c r="X938" s="181"/>
      <c r="Y938" s="181"/>
      <c r="Z938" s="181"/>
    </row>
    <row r="939" ht="15.75" customHeight="1">
      <c r="A939" s="179"/>
      <c r="B939" s="179"/>
      <c r="C939" s="179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  <c r="X939" s="181"/>
      <c r="Y939" s="181"/>
      <c r="Z939" s="181"/>
    </row>
    <row r="940" ht="15.75" customHeight="1">
      <c r="A940" s="179"/>
      <c r="B940" s="179"/>
      <c r="C940" s="179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  <c r="X940" s="181"/>
      <c r="Y940" s="181"/>
      <c r="Z940" s="181"/>
    </row>
    <row r="941" ht="15.75" customHeight="1">
      <c r="A941" s="179"/>
      <c r="B941" s="179"/>
      <c r="C941" s="179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  <c r="X941" s="181"/>
      <c r="Y941" s="181"/>
      <c r="Z941" s="181"/>
    </row>
    <row r="942" ht="15.75" customHeight="1">
      <c r="A942" s="179"/>
      <c r="B942" s="179"/>
      <c r="C942" s="179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  <c r="X942" s="181"/>
      <c r="Y942" s="181"/>
      <c r="Z942" s="181"/>
    </row>
    <row r="943" ht="15.75" customHeight="1">
      <c r="A943" s="179"/>
      <c r="B943" s="179"/>
      <c r="C943" s="179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  <c r="X943" s="181"/>
      <c r="Y943" s="181"/>
      <c r="Z943" s="181"/>
    </row>
    <row r="944" ht="15.75" customHeight="1">
      <c r="A944" s="179"/>
      <c r="B944" s="179"/>
      <c r="C944" s="179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  <c r="X944" s="181"/>
      <c r="Y944" s="181"/>
      <c r="Z944" s="181"/>
    </row>
    <row r="945" ht="15.75" customHeight="1">
      <c r="A945" s="179"/>
      <c r="B945" s="179"/>
      <c r="C945" s="179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  <c r="X945" s="181"/>
      <c r="Y945" s="181"/>
      <c r="Z945" s="181"/>
    </row>
    <row r="946" ht="15.75" customHeight="1">
      <c r="A946" s="179"/>
      <c r="B946" s="179"/>
      <c r="C946" s="179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  <c r="X946" s="181"/>
      <c r="Y946" s="181"/>
      <c r="Z946" s="181"/>
    </row>
    <row r="947" ht="15.75" customHeight="1">
      <c r="A947" s="179"/>
      <c r="B947" s="179"/>
      <c r="C947" s="179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  <c r="X947" s="181"/>
      <c r="Y947" s="181"/>
      <c r="Z947" s="181"/>
    </row>
    <row r="948" ht="15.75" customHeight="1">
      <c r="A948" s="179"/>
      <c r="B948" s="179"/>
      <c r="C948" s="179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  <c r="X948" s="181"/>
      <c r="Y948" s="181"/>
      <c r="Z948" s="181"/>
    </row>
    <row r="949" ht="15.75" customHeight="1">
      <c r="A949" s="179"/>
      <c r="B949" s="179"/>
      <c r="C949" s="179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  <c r="X949" s="181"/>
      <c r="Y949" s="181"/>
      <c r="Z949" s="181"/>
    </row>
    <row r="950" ht="15.75" customHeight="1">
      <c r="A950" s="179"/>
      <c r="B950" s="179"/>
      <c r="C950" s="179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  <c r="X950" s="181"/>
      <c r="Y950" s="181"/>
      <c r="Z950" s="181"/>
    </row>
    <row r="951" ht="15.75" customHeight="1">
      <c r="A951" s="179"/>
      <c r="B951" s="179"/>
      <c r="C951" s="179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  <c r="X951" s="181"/>
      <c r="Y951" s="181"/>
      <c r="Z951" s="181"/>
    </row>
    <row r="952" ht="15.75" customHeight="1">
      <c r="A952" s="179"/>
      <c r="B952" s="179"/>
      <c r="C952" s="179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  <c r="X952" s="181"/>
      <c r="Y952" s="181"/>
      <c r="Z952" s="181"/>
    </row>
    <row r="953" ht="15.75" customHeight="1">
      <c r="A953" s="179"/>
      <c r="B953" s="179"/>
      <c r="C953" s="179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  <c r="X953" s="181"/>
      <c r="Y953" s="181"/>
      <c r="Z953" s="181"/>
    </row>
    <row r="954" ht="15.75" customHeight="1">
      <c r="A954" s="179"/>
      <c r="B954" s="179"/>
      <c r="C954" s="179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  <c r="X954" s="181"/>
      <c r="Y954" s="181"/>
      <c r="Z954" s="181"/>
    </row>
    <row r="955" ht="15.75" customHeight="1">
      <c r="A955" s="179"/>
      <c r="B955" s="179"/>
      <c r="C955" s="179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  <c r="X955" s="181"/>
      <c r="Y955" s="181"/>
      <c r="Z955" s="181"/>
    </row>
    <row r="956" ht="15.75" customHeight="1">
      <c r="A956" s="179"/>
      <c r="B956" s="179"/>
      <c r="C956" s="179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  <c r="X956" s="181"/>
      <c r="Y956" s="181"/>
      <c r="Z956" s="181"/>
    </row>
    <row r="957" ht="15.75" customHeight="1">
      <c r="A957" s="179"/>
      <c r="B957" s="179"/>
      <c r="C957" s="179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  <c r="X957" s="181"/>
      <c r="Y957" s="181"/>
      <c r="Z957" s="181"/>
    </row>
    <row r="958" ht="15.75" customHeight="1">
      <c r="A958" s="179"/>
      <c r="B958" s="179"/>
      <c r="C958" s="179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</row>
    <row r="959" ht="15.75" customHeight="1">
      <c r="A959" s="179"/>
      <c r="B959" s="179"/>
      <c r="C959" s="179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</row>
    <row r="960" ht="15.75" customHeight="1">
      <c r="A960" s="179"/>
      <c r="B960" s="179"/>
      <c r="C960" s="179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  <c r="X960" s="181"/>
      <c r="Y960" s="181"/>
      <c r="Z960" s="181"/>
    </row>
    <row r="961" ht="15.75" customHeight="1">
      <c r="A961" s="179"/>
      <c r="B961" s="179"/>
      <c r="C961" s="179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  <c r="X961" s="181"/>
      <c r="Y961" s="181"/>
      <c r="Z961" s="181"/>
    </row>
    <row r="962" ht="15.75" customHeight="1">
      <c r="A962" s="179"/>
      <c r="B962" s="179"/>
      <c r="C962" s="179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  <c r="X962" s="181"/>
      <c r="Y962" s="181"/>
      <c r="Z962" s="181"/>
    </row>
    <row r="963" ht="15.75" customHeight="1">
      <c r="A963" s="179"/>
      <c r="B963" s="179"/>
      <c r="C963" s="179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  <c r="X963" s="181"/>
      <c r="Y963" s="181"/>
      <c r="Z963" s="181"/>
    </row>
    <row r="964" ht="15.75" customHeight="1">
      <c r="A964" s="179"/>
      <c r="B964" s="179"/>
      <c r="C964" s="179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  <c r="X964" s="181"/>
      <c r="Y964" s="181"/>
      <c r="Z964" s="181"/>
    </row>
    <row r="965" ht="15.75" customHeight="1">
      <c r="A965" s="179"/>
      <c r="B965" s="179"/>
      <c r="C965" s="179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  <c r="X965" s="181"/>
      <c r="Y965" s="181"/>
      <c r="Z965" s="181"/>
    </row>
    <row r="966" ht="15.75" customHeight="1">
      <c r="A966" s="179"/>
      <c r="B966" s="179"/>
      <c r="C966" s="179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  <c r="X966" s="181"/>
      <c r="Y966" s="181"/>
      <c r="Z966" s="181"/>
    </row>
    <row r="967" ht="15.75" customHeight="1">
      <c r="A967" s="179"/>
      <c r="B967" s="179"/>
      <c r="C967" s="179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  <c r="X967" s="181"/>
      <c r="Y967" s="181"/>
      <c r="Z967" s="181"/>
    </row>
    <row r="968" ht="15.75" customHeight="1">
      <c r="A968" s="179"/>
      <c r="B968" s="179"/>
      <c r="C968" s="179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  <c r="X968" s="181"/>
      <c r="Y968" s="181"/>
      <c r="Z968" s="181"/>
    </row>
    <row r="969" ht="15.75" customHeight="1">
      <c r="A969" s="179"/>
      <c r="B969" s="179"/>
      <c r="C969" s="179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  <c r="X969" s="181"/>
      <c r="Y969" s="181"/>
      <c r="Z969" s="181"/>
    </row>
    <row r="970" ht="15.75" customHeight="1">
      <c r="A970" s="179"/>
      <c r="B970" s="179"/>
      <c r="C970" s="179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  <c r="X970" s="181"/>
      <c r="Y970" s="181"/>
      <c r="Z970" s="181"/>
    </row>
    <row r="971" ht="15.75" customHeight="1">
      <c r="A971" s="179"/>
      <c r="B971" s="179"/>
      <c r="C971" s="179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  <c r="X971" s="181"/>
      <c r="Y971" s="181"/>
      <c r="Z971" s="181"/>
    </row>
    <row r="972" ht="15.75" customHeight="1">
      <c r="A972" s="179"/>
      <c r="B972" s="179"/>
      <c r="C972" s="179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  <c r="X972" s="181"/>
      <c r="Y972" s="181"/>
      <c r="Z972" s="181"/>
    </row>
    <row r="973" ht="15.75" customHeight="1">
      <c r="A973" s="179"/>
      <c r="B973" s="179"/>
      <c r="C973" s="179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  <c r="X973" s="181"/>
      <c r="Y973" s="181"/>
      <c r="Z973" s="181"/>
    </row>
    <row r="974" ht="15.75" customHeight="1">
      <c r="A974" s="179"/>
      <c r="B974" s="179"/>
      <c r="C974" s="179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  <c r="X974" s="181"/>
      <c r="Y974" s="181"/>
      <c r="Z974" s="181"/>
    </row>
    <row r="975" ht="15.75" customHeight="1">
      <c r="A975" s="179"/>
      <c r="B975" s="179"/>
      <c r="C975" s="179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  <c r="X975" s="181"/>
      <c r="Y975" s="181"/>
      <c r="Z975" s="181"/>
    </row>
    <row r="976" ht="15.75" customHeight="1">
      <c r="A976" s="179"/>
      <c r="B976" s="179"/>
      <c r="C976" s="179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  <c r="X976" s="181"/>
      <c r="Y976" s="181"/>
      <c r="Z976" s="181"/>
    </row>
    <row r="977" ht="15.75" customHeight="1">
      <c r="A977" s="179"/>
      <c r="B977" s="179"/>
      <c r="C977" s="179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  <c r="X977" s="181"/>
      <c r="Y977" s="181"/>
      <c r="Z977" s="181"/>
    </row>
    <row r="978" ht="15.75" customHeight="1">
      <c r="A978" s="179"/>
      <c r="B978" s="179"/>
      <c r="C978" s="179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  <c r="X978" s="181"/>
      <c r="Y978" s="181"/>
      <c r="Z978" s="181"/>
    </row>
    <row r="979" ht="15.75" customHeight="1">
      <c r="A979" s="179"/>
      <c r="B979" s="179"/>
      <c r="C979" s="179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  <c r="X979" s="181"/>
      <c r="Y979" s="181"/>
      <c r="Z979" s="181"/>
    </row>
    <row r="980" ht="15.75" customHeight="1">
      <c r="A980" s="179"/>
      <c r="B980" s="179"/>
      <c r="C980" s="179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  <c r="X980" s="181"/>
      <c r="Y980" s="181"/>
      <c r="Z980" s="181"/>
    </row>
    <row r="981" ht="15.75" customHeight="1">
      <c r="A981" s="179"/>
      <c r="B981" s="179"/>
      <c r="C981" s="179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  <c r="X981" s="181"/>
      <c r="Y981" s="181"/>
      <c r="Z981" s="181"/>
    </row>
    <row r="982" ht="15.75" customHeight="1">
      <c r="A982" s="179"/>
      <c r="B982" s="179"/>
      <c r="C982" s="179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  <c r="X982" s="181"/>
      <c r="Y982" s="181"/>
      <c r="Z982" s="181"/>
    </row>
    <row r="983" ht="15.75" customHeight="1">
      <c r="A983" s="179"/>
      <c r="B983" s="179"/>
      <c r="C983" s="179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  <c r="X983" s="181"/>
      <c r="Y983" s="181"/>
      <c r="Z983" s="181"/>
    </row>
    <row r="984" ht="15.75" customHeight="1">
      <c r="A984" s="179"/>
      <c r="B984" s="179"/>
      <c r="C984" s="179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  <c r="X984" s="181"/>
      <c r="Y984" s="181"/>
      <c r="Z984" s="181"/>
    </row>
    <row r="985" ht="15.75" customHeight="1">
      <c r="A985" s="179"/>
      <c r="B985" s="179"/>
      <c r="C985" s="179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  <c r="X985" s="181"/>
      <c r="Y985" s="181"/>
      <c r="Z985" s="181"/>
    </row>
    <row r="986" ht="15.75" customHeight="1">
      <c r="A986" s="179"/>
      <c r="B986" s="179"/>
      <c r="C986" s="179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  <c r="X986" s="181"/>
      <c r="Y986" s="181"/>
      <c r="Z986" s="181"/>
    </row>
    <row r="987" ht="15.75" customHeight="1">
      <c r="A987" s="179"/>
      <c r="B987" s="179"/>
      <c r="C987" s="179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  <c r="X987" s="181"/>
      <c r="Y987" s="181"/>
      <c r="Z987" s="181"/>
    </row>
    <row r="988" ht="15.75" customHeight="1">
      <c r="A988" s="179"/>
      <c r="B988" s="179"/>
      <c r="C988" s="179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  <c r="X988" s="181"/>
      <c r="Y988" s="181"/>
      <c r="Z988" s="181"/>
    </row>
    <row r="989" ht="15.75" customHeight="1">
      <c r="A989" s="179"/>
      <c r="B989" s="179"/>
      <c r="C989" s="179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  <c r="X989" s="181"/>
      <c r="Y989" s="181"/>
      <c r="Z989" s="181"/>
    </row>
    <row r="990" ht="15.75" customHeight="1">
      <c r="A990" s="179"/>
      <c r="B990" s="179"/>
      <c r="C990" s="179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  <c r="X990" s="181"/>
      <c r="Y990" s="181"/>
      <c r="Z990" s="181"/>
    </row>
    <row r="991" ht="15.75" customHeight="1">
      <c r="A991" s="179"/>
      <c r="B991" s="179"/>
      <c r="C991" s="179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  <c r="X991" s="181"/>
      <c r="Y991" s="181"/>
      <c r="Z991" s="181"/>
    </row>
    <row r="992" ht="15.75" customHeight="1">
      <c r="A992" s="179"/>
      <c r="B992" s="179"/>
      <c r="C992" s="179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  <c r="X992" s="181"/>
      <c r="Y992" s="181"/>
      <c r="Z992" s="181"/>
    </row>
    <row r="993" ht="15.75" customHeight="1">
      <c r="A993" s="179"/>
      <c r="B993" s="179"/>
      <c r="C993" s="179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  <c r="X993" s="181"/>
      <c r="Y993" s="181"/>
      <c r="Z993" s="181"/>
    </row>
    <row r="994" ht="15.75" customHeight="1">
      <c r="A994" s="179"/>
      <c r="B994" s="179"/>
      <c r="C994" s="179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  <c r="X994" s="181"/>
      <c r="Y994" s="181"/>
      <c r="Z994" s="181"/>
    </row>
    <row r="995" ht="15.75" customHeight="1">
      <c r="A995" s="179"/>
      <c r="B995" s="179"/>
      <c r="C995" s="179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  <c r="X995" s="181"/>
      <c r="Y995" s="181"/>
      <c r="Z995" s="181"/>
    </row>
    <row r="996" ht="15.75" customHeight="1">
      <c r="A996" s="179"/>
      <c r="B996" s="179"/>
      <c r="C996" s="179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  <c r="X996" s="181"/>
      <c r="Y996" s="181"/>
      <c r="Z996" s="181"/>
    </row>
    <row r="997" ht="15.75" customHeight="1">
      <c r="A997" s="179"/>
      <c r="B997" s="179"/>
      <c r="C997" s="179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  <c r="X997" s="181"/>
      <c r="Y997" s="181"/>
      <c r="Z997" s="181"/>
    </row>
    <row r="998" ht="15.75" customHeight="1">
      <c r="A998" s="179"/>
      <c r="B998" s="179"/>
      <c r="C998" s="179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  <c r="X998" s="181"/>
      <c r="Y998" s="181"/>
      <c r="Z998" s="181"/>
    </row>
    <row r="999" ht="15.75" customHeight="1">
      <c r="A999" s="179"/>
      <c r="B999" s="179"/>
      <c r="C999" s="179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  <c r="X999" s="181"/>
      <c r="Y999" s="181"/>
      <c r="Z999" s="181"/>
    </row>
    <row r="1000" ht="15.75" customHeight="1">
      <c r="A1000" s="179"/>
      <c r="B1000" s="179"/>
      <c r="C1000" s="179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  <c r="X1000" s="181"/>
      <c r="Y1000" s="181"/>
      <c r="Z1000" s="181"/>
    </row>
  </sheetData>
  <printOptions/>
  <pageMargins bottom="1.0" footer="0.0" header="0.0" left="0.75" right="0.75" top="1.0"/>
  <pageSetup paperSize="9" orientation="portrait"/>
  <drawing r:id="rId1"/>
</worksheet>
</file>